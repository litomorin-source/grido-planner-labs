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to_\Downloads\"/>
    </mc:Choice>
  </mc:AlternateContent>
  <bookViews>
    <workbookView xWindow="0" yWindow="0" windowWidth="20460" windowHeight="8220"/>
  </bookViews>
  <sheets>
    <sheet name="Estructura" sheetId="2" r:id="rId1"/>
    <sheet name="Rent x línea País" sheetId="1" r:id="rId2"/>
  </sheets>
  <externalReferences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1" i="2" l="1"/>
  <c r="F42" i="2"/>
  <c r="F43" i="2"/>
  <c r="F44" i="2"/>
  <c r="F45" i="2"/>
  <c r="F46" i="2"/>
  <c r="F47" i="2"/>
  <c r="F48" i="2"/>
  <c r="F55" i="2"/>
  <c r="F56" i="2"/>
  <c r="F57" i="2"/>
  <c r="F58" i="2"/>
  <c r="F59" i="2"/>
  <c r="F60" i="2"/>
  <c r="F61" i="2"/>
  <c r="F62" i="2"/>
  <c r="F63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G83" i="2"/>
  <c r="H83" i="2"/>
  <c r="I83" i="2"/>
  <c r="H84" i="2"/>
  <c r="I84" i="2"/>
  <c r="H85" i="2"/>
  <c r="I85" i="2"/>
  <c r="E88" i="2"/>
  <c r="E89" i="2"/>
  <c r="E90" i="2"/>
  <c r="H93" i="2"/>
  <c r="G93" i="2"/>
  <c r="G94" i="2"/>
  <c r="H94" i="2"/>
  <c r="I98" i="2"/>
  <c r="I99" i="2"/>
  <c r="I100" i="2"/>
  <c r="I101" i="2"/>
  <c r="I102" i="2"/>
  <c r="I103" i="2"/>
  <c r="I104" i="2"/>
  <c r="I105" i="2"/>
  <c r="I106" i="2"/>
  <c r="I107" i="2"/>
  <c r="J107" i="2" l="1"/>
  <c r="J106" i="2"/>
  <c r="J105" i="2"/>
  <c r="J104" i="2"/>
  <c r="J103" i="2"/>
  <c r="J102" i="2"/>
  <c r="J101" i="2"/>
  <c r="J100" i="2"/>
  <c r="J99" i="2"/>
  <c r="J98" i="2"/>
  <c r="D93" i="2"/>
  <c r="D85" i="2"/>
  <c r="D84" i="2"/>
  <c r="D83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3" i="2"/>
  <c r="D62" i="2"/>
  <c r="D61" i="2"/>
  <c r="D60" i="2"/>
  <c r="D59" i="2"/>
  <c r="D58" i="2"/>
  <c r="D57" i="2"/>
  <c r="D56" i="2"/>
  <c r="D55" i="2"/>
  <c r="D52" i="2"/>
  <c r="D51" i="2"/>
  <c r="D50" i="2"/>
  <c r="D49" i="2"/>
  <c r="D48" i="2"/>
  <c r="D47" i="2"/>
  <c r="D46" i="2"/>
  <c r="D45" i="2"/>
  <c r="D44" i="2"/>
  <c r="D43" i="2"/>
  <c r="D42" i="2"/>
  <c r="D41" i="2"/>
  <c r="D38" i="2"/>
  <c r="L37" i="2"/>
  <c r="L36" i="2"/>
  <c r="L35" i="2"/>
  <c r="L34" i="2"/>
  <c r="K34" i="2"/>
  <c r="M34" i="2"/>
  <c r="M33" i="2"/>
  <c r="L33" i="2"/>
  <c r="K33" i="2"/>
  <c r="D33" i="2"/>
  <c r="N33" i="2" s="1"/>
  <c r="L32" i="2"/>
  <c r="K32" i="2"/>
  <c r="M32" i="2"/>
  <c r="L31" i="2"/>
  <c r="K31" i="2"/>
  <c r="M31" i="2"/>
  <c r="L30" i="2"/>
  <c r="K30" i="2"/>
  <c r="M30" i="2"/>
  <c r="M29" i="2"/>
  <c r="K29" i="2"/>
  <c r="J29" i="2"/>
  <c r="M28" i="2"/>
  <c r="J28" i="2"/>
  <c r="L27" i="2"/>
  <c r="J27" i="2"/>
  <c r="M27" i="2"/>
  <c r="J26" i="2"/>
  <c r="M26" i="2"/>
  <c r="J22" i="2"/>
  <c r="J21" i="2"/>
  <c r="D21" i="2"/>
  <c r="K21" i="2" s="1"/>
  <c r="J20" i="2"/>
  <c r="N17" i="2"/>
  <c r="M17" i="2"/>
  <c r="D17" i="2"/>
  <c r="B16" i="2"/>
  <c r="D16" i="2" s="1"/>
  <c r="B15" i="2"/>
  <c r="J13" i="2"/>
  <c r="D13" i="2"/>
  <c r="B13" i="2"/>
  <c r="B12" i="2"/>
  <c r="M11" i="2"/>
  <c r="J11" i="2"/>
  <c r="P11" i="2"/>
  <c r="B11" i="2"/>
  <c r="B9" i="2" s="1"/>
  <c r="D9" i="2" s="1"/>
  <c r="J10" i="2"/>
  <c r="B10" i="2"/>
  <c r="U9" i="2"/>
  <c r="W9" i="2" s="1"/>
  <c r="U8" i="2"/>
  <c r="W8" i="2" s="1"/>
  <c r="B8" i="2"/>
  <c r="D8" i="2" s="1"/>
  <c r="U7" i="2"/>
  <c r="W7" i="2" s="1"/>
  <c r="D4" i="2"/>
  <c r="D35" i="2" s="1"/>
  <c r="G85" i="1"/>
  <c r="I12" i="1"/>
  <c r="I11" i="1"/>
  <c r="I10" i="1"/>
  <c r="I9" i="1"/>
  <c r="I8" i="1"/>
  <c r="I7" i="1"/>
  <c r="I5" i="1"/>
  <c r="I4" i="1"/>
  <c r="N38" i="2" l="1"/>
  <c r="M36" i="2"/>
  <c r="M38" i="2"/>
  <c r="W10" i="2"/>
  <c r="U10" i="2"/>
  <c r="D12" i="2"/>
  <c r="D36" i="2"/>
  <c r="N36" i="2" s="1"/>
  <c r="D37" i="2"/>
  <c r="D15" i="2"/>
  <c r="D22" i="2"/>
  <c r="K22" i="2" s="1"/>
  <c r="D32" i="2"/>
  <c r="N32" i="2" s="1"/>
  <c r="D11" i="2"/>
  <c r="N11" i="2" s="1"/>
  <c r="D20" i="2"/>
  <c r="K20" i="2" s="1"/>
  <c r="D10" i="2"/>
  <c r="D29" i="2"/>
  <c r="N29" i="2" s="1"/>
  <c r="D30" i="2"/>
  <c r="N30" i="2" s="1"/>
  <c r="D34" i="2"/>
  <c r="N34" i="2" s="1"/>
  <c r="D14" i="2"/>
  <c r="D27" i="2"/>
  <c r="N27" i="2" s="1"/>
  <c r="D28" i="2"/>
  <c r="N28" i="2" s="1"/>
  <c r="D26" i="2"/>
  <c r="N26" i="2" s="1"/>
  <c r="D31" i="2"/>
  <c r="N31" i="2" s="1"/>
  <c r="G84" i="1"/>
  <c r="H84" i="1" s="1"/>
  <c r="I84" i="1" s="1"/>
  <c r="G63" i="1"/>
  <c r="H63" i="1" s="1"/>
  <c r="I63" i="1" s="1"/>
  <c r="H85" i="1"/>
  <c r="I85" i="1" s="1"/>
  <c r="G15" i="1"/>
  <c r="H15" i="1" s="1"/>
  <c r="I15" i="1" s="1"/>
  <c r="G4" i="1"/>
  <c r="H4" i="1" s="1"/>
  <c r="G10" i="1"/>
  <c r="H10" i="1" s="1"/>
  <c r="G70" i="1"/>
  <c r="H70" i="1" s="1"/>
  <c r="I70" i="1" s="1"/>
  <c r="G86" i="1"/>
  <c r="H86" i="1" s="1"/>
  <c r="I86" i="1" s="1"/>
  <c r="G48" i="1"/>
  <c r="H48" i="1" s="1"/>
  <c r="I48" i="1" s="1"/>
  <c r="G46" i="1"/>
  <c r="H46" i="1" s="1"/>
  <c r="I46" i="1" s="1"/>
  <c r="G82" i="1"/>
  <c r="H82" i="1" s="1"/>
  <c r="I82" i="1" s="1"/>
  <c r="G80" i="1"/>
  <c r="H80" i="1" s="1"/>
  <c r="I80" i="1" s="1"/>
  <c r="G83" i="1"/>
  <c r="H83" i="1" s="1"/>
  <c r="I83" i="1" s="1"/>
  <c r="G74" i="1"/>
  <c r="H74" i="1" s="1"/>
  <c r="I74" i="1" s="1"/>
  <c r="G81" i="1"/>
  <c r="H81" i="1" s="1"/>
  <c r="I81" i="1" s="1"/>
  <c r="G22" i="1"/>
  <c r="H22" i="1" s="1"/>
  <c r="I22" i="1" s="1"/>
  <c r="G24" i="1"/>
  <c r="H24" i="1" s="1"/>
  <c r="I24" i="1" s="1"/>
  <c r="G41" i="1"/>
  <c r="H41" i="1" s="1"/>
  <c r="I41" i="1" s="1"/>
  <c r="G43" i="1"/>
  <c r="H43" i="1" s="1"/>
  <c r="I43" i="1" s="1"/>
  <c r="G16" i="1"/>
  <c r="H16" i="1" s="1"/>
  <c r="I16" i="1" s="1"/>
  <c r="G49" i="1"/>
  <c r="H49" i="1" s="1"/>
  <c r="I49" i="1" s="1"/>
  <c r="G54" i="1"/>
  <c r="H54" i="1" s="1"/>
  <c r="I54" i="1" s="1"/>
  <c r="G23" i="1"/>
  <c r="H23" i="1" s="1"/>
  <c r="I23" i="1" s="1"/>
  <c r="G25" i="1"/>
  <c r="H25" i="1" s="1"/>
  <c r="I25" i="1" s="1"/>
  <c r="G33" i="1"/>
  <c r="H33" i="1" s="1"/>
  <c r="I33" i="1" s="1"/>
  <c r="G35" i="1"/>
  <c r="H35" i="1" s="1"/>
  <c r="I35" i="1" s="1"/>
  <c r="G40" i="1"/>
  <c r="H40" i="1" s="1"/>
  <c r="I40" i="1" s="1"/>
  <c r="G42" i="1"/>
  <c r="H42" i="1" s="1"/>
  <c r="I42" i="1" s="1"/>
  <c r="G60" i="1"/>
  <c r="H60" i="1" s="1"/>
  <c r="I60" i="1" s="1"/>
  <c r="G78" i="1"/>
  <c r="H78" i="1" s="1"/>
  <c r="I78" i="1" s="1"/>
  <c r="G5" i="1"/>
  <c r="H5" i="1" s="1"/>
  <c r="G8" i="1"/>
  <c r="H8" i="1" s="1"/>
  <c r="G19" i="1"/>
  <c r="H19" i="1" s="1"/>
  <c r="I19" i="1" s="1"/>
  <c r="G21" i="1"/>
  <c r="H21" i="1" s="1"/>
  <c r="I21" i="1" s="1"/>
  <c r="G52" i="1"/>
  <c r="H52" i="1" s="1"/>
  <c r="I52" i="1" s="1"/>
  <c r="G77" i="1"/>
  <c r="H77" i="1" s="1"/>
  <c r="I77" i="1" s="1"/>
  <c r="G27" i="1"/>
  <c r="H27" i="1" s="1"/>
  <c r="I27" i="1" s="1"/>
  <c r="G79" i="1"/>
  <c r="H79" i="1" s="1"/>
  <c r="I79" i="1" s="1"/>
  <c r="G20" i="1"/>
  <c r="H20" i="1" s="1"/>
  <c r="I20" i="1" s="1"/>
  <c r="G53" i="1"/>
  <c r="H53" i="1" s="1"/>
  <c r="I53" i="1" s="1"/>
  <c r="G6" i="1"/>
  <c r="H6" i="1" s="1"/>
  <c r="G9" i="1"/>
  <c r="H9" i="1" s="1"/>
  <c r="G12" i="1"/>
  <c r="H12" i="1" s="1"/>
  <c r="G45" i="1"/>
  <c r="H45" i="1" s="1"/>
  <c r="I45" i="1" s="1"/>
  <c r="G47" i="1"/>
  <c r="H47" i="1" s="1"/>
  <c r="I47" i="1" s="1"/>
  <c r="G3" i="1"/>
  <c r="H3" i="1" s="1"/>
  <c r="G38" i="1"/>
  <c r="H38" i="1" s="1"/>
  <c r="I38" i="1" s="1"/>
  <c r="G26" i="1"/>
  <c r="H26" i="1" s="1"/>
  <c r="I26" i="1" s="1"/>
  <c r="G30" i="1"/>
  <c r="H30" i="1" s="1"/>
  <c r="I30" i="1" s="1"/>
  <c r="G73" i="1"/>
  <c r="H73" i="1" s="1"/>
  <c r="I73" i="1" s="1"/>
  <c r="G32" i="1"/>
  <c r="H32" i="1" s="1"/>
  <c r="I32" i="1" s="1"/>
  <c r="G44" i="1"/>
  <c r="H44" i="1" s="1"/>
  <c r="I44" i="1" s="1"/>
  <c r="G67" i="1"/>
  <c r="H67" i="1" s="1"/>
  <c r="I67" i="1" s="1"/>
  <c r="G56" i="1"/>
  <c r="H56" i="1" s="1"/>
  <c r="I56" i="1" s="1"/>
  <c r="G71" i="1"/>
  <c r="H71" i="1" s="1"/>
  <c r="I71" i="1" s="1"/>
  <c r="G39" i="1"/>
  <c r="H39" i="1" s="1"/>
  <c r="I39" i="1" s="1"/>
  <c r="G7" i="1"/>
  <c r="H7" i="1" s="1"/>
  <c r="G31" i="1"/>
  <c r="H31" i="1" s="1"/>
  <c r="I31" i="1" s="1"/>
  <c r="G66" i="1"/>
  <c r="H66" i="1" s="1"/>
  <c r="I66" i="1" s="1"/>
  <c r="G68" i="1"/>
  <c r="H68" i="1" s="1"/>
  <c r="I68" i="1" s="1"/>
  <c r="I6" i="1"/>
  <c r="I3" i="1"/>
  <c r="G34" i="1"/>
  <c r="H34" i="1" s="1"/>
  <c r="I34" i="1" s="1"/>
  <c r="G18" i="1"/>
  <c r="H18" i="1" s="1"/>
  <c r="I18" i="1" s="1"/>
  <c r="G28" i="1"/>
  <c r="H28" i="1" s="1"/>
  <c r="I28" i="1" s="1"/>
  <c r="G36" i="1"/>
  <c r="H36" i="1" s="1"/>
  <c r="I36" i="1" s="1"/>
  <c r="G11" i="1"/>
  <c r="H11" i="1" s="1"/>
  <c r="G14" i="1"/>
  <c r="H14" i="1" s="1"/>
  <c r="I14" i="1" s="1"/>
  <c r="G51" i="1"/>
  <c r="H51" i="1" s="1"/>
  <c r="I51" i="1" s="1"/>
  <c r="G55" i="1"/>
  <c r="H55" i="1" s="1"/>
  <c r="I55" i="1" s="1"/>
  <c r="G29" i="1"/>
  <c r="H29" i="1" s="1"/>
  <c r="I29" i="1" s="1"/>
  <c r="G58" i="1"/>
  <c r="H58" i="1" s="1"/>
  <c r="I58" i="1" s="1"/>
  <c r="G64" i="1"/>
  <c r="H64" i="1" s="1"/>
  <c r="I64" i="1" s="1"/>
  <c r="G69" i="1"/>
  <c r="H69" i="1" s="1"/>
  <c r="I69" i="1" s="1"/>
  <c r="G59" i="1"/>
  <c r="H59" i="1" s="1"/>
  <c r="I59" i="1" s="1"/>
  <c r="G65" i="1"/>
  <c r="H65" i="1" s="1"/>
  <c r="I65" i="1" s="1"/>
  <c r="G57" i="1"/>
  <c r="H57" i="1" s="1"/>
  <c r="I57" i="1" s="1"/>
  <c r="D94" i="2" l="1"/>
  <c r="Q11" i="2"/>
  <c r="X10" i="2"/>
  <c r="P14" i="2" l="1"/>
  <c r="Q14" i="2" s="1"/>
  <c r="M14" i="2"/>
  <c r="N14" i="2"/>
  <c r="M12" i="2"/>
  <c r="P12" i="2"/>
  <c r="Q12" i="2" s="1"/>
  <c r="N12" i="2"/>
  <c r="N7" i="2"/>
  <c r="P7" i="2"/>
  <c r="Q7" i="2" s="1"/>
  <c r="M7" i="2"/>
  <c r="M37" i="2"/>
  <c r="N37" i="2"/>
  <c r="P9" i="2"/>
  <c r="Q9" i="2" s="1"/>
  <c r="N9" i="2"/>
  <c r="M9" i="2"/>
  <c r="M15" i="2"/>
  <c r="P15" i="2"/>
  <c r="Q15" i="2" s="1"/>
  <c r="N15" i="2"/>
  <c r="M35" i="2"/>
  <c r="N35" i="2"/>
  <c r="N16" i="2"/>
  <c r="M16" i="2"/>
  <c r="P16" i="2"/>
  <c r="Q16" i="2" s="1"/>
  <c r="N8" i="2"/>
  <c r="M8" i="2"/>
  <c r="P8" i="2"/>
  <c r="Q8" i="2" s="1"/>
  <c r="N13" i="2" l="1"/>
  <c r="P13" i="2"/>
  <c r="Q13" i="2" s="1"/>
  <c r="M13" i="2"/>
  <c r="M10" i="2"/>
  <c r="P10" i="2"/>
  <c r="Q10" i="2" s="1"/>
  <c r="N10" i="2"/>
</calcChain>
</file>

<file path=xl/sharedStrings.xml><?xml version="1.0" encoding="utf-8"?>
<sst xmlns="http://schemas.openxmlformats.org/spreadsheetml/2006/main" count="312" uniqueCount="169">
  <si>
    <t>Rentabilidad por Línea</t>
  </si>
  <si>
    <t>Kgs Unit</t>
  </si>
  <si>
    <t>NUEVO</t>
  </si>
  <si>
    <t>Precio s/IVA</t>
  </si>
  <si>
    <t>Costo Hel</t>
  </si>
  <si>
    <t>Costo Ins</t>
  </si>
  <si>
    <t>Costo Unit</t>
  </si>
  <si>
    <t>Util Unit</t>
  </si>
  <si>
    <t xml:space="preserve">Rent </t>
  </si>
  <si>
    <t>Costo Insumos</t>
  </si>
  <si>
    <t>Costo Total</t>
  </si>
  <si>
    <t>CUCURUCHOS</t>
  </si>
  <si>
    <t>Baño de Chocolate</t>
  </si>
  <si>
    <t>Gigante 2 Bochas</t>
  </si>
  <si>
    <t>Gigante 3 bochas</t>
  </si>
  <si>
    <t>Cucurucho Grido</t>
  </si>
  <si>
    <t>Maxi Grido</t>
  </si>
  <si>
    <t>Mini Gigante</t>
  </si>
  <si>
    <t>Super Gridito</t>
  </si>
  <si>
    <t>Tacita 1 Bocha</t>
  </si>
  <si>
    <t>Tacita 2 Bochas</t>
  </si>
  <si>
    <t>Tacita 3 Bochas</t>
  </si>
  <si>
    <t>GRANEL</t>
  </si>
  <si>
    <t>1 Kilo</t>
  </si>
  <si>
    <t>1/2 Kilo</t>
  </si>
  <si>
    <t>1/4 Kilo</t>
  </si>
  <si>
    <t>LINEAS ESPECIALES</t>
  </si>
  <si>
    <t>Grido Batido</t>
  </si>
  <si>
    <t>Batido Nesquik</t>
  </si>
  <si>
    <t>Capuccino Grido</t>
  </si>
  <si>
    <t>Smoothie Grido</t>
  </si>
  <si>
    <t>Sundae Frutal</t>
  </si>
  <si>
    <t>Capelina Frutal</t>
  </si>
  <si>
    <t>Capelina Nuez</t>
  </si>
  <si>
    <t>Capelina Frutilla</t>
  </si>
  <si>
    <t>Capelina Tramontana</t>
  </si>
  <si>
    <t>Grido Toys 1 bocha</t>
  </si>
  <si>
    <t>Grido Toys 2 bochas</t>
  </si>
  <si>
    <t>Sundae Go</t>
  </si>
  <si>
    <t>Mango Bravo</t>
  </si>
  <si>
    <t>YOGURT SIN TACC X 12 UNIDADES</t>
  </si>
  <si>
    <t>YOGURT SIN TACC X UNIDAD</t>
  </si>
  <si>
    <t>HELADO SA AGR X 12 UNIDADES</t>
  </si>
  <si>
    <t>HELADO SA AGR X UNIDAD</t>
  </si>
  <si>
    <t>POSTRES VEG x 12 un.</t>
  </si>
  <si>
    <t>POSTRES VEG x un.</t>
  </si>
  <si>
    <t>BOMBONES</t>
  </si>
  <si>
    <t>Bombon Crocante En Caja X 8</t>
  </si>
  <si>
    <t>Bombon Crocante X Unidad</t>
  </si>
  <si>
    <t>Bombon Escoces En Caja X 8</t>
  </si>
  <si>
    <t>Bombon Escoces X Unidad</t>
  </si>
  <si>
    <t>Bombon Suizo En Caja X 8</t>
  </si>
  <si>
    <t>Bombon Suizo X Unidad</t>
  </si>
  <si>
    <t>Bombón Vainilla Split En Caja x 8</t>
  </si>
  <si>
    <t>Bombón Vainilla Split x Unidad</t>
  </si>
  <si>
    <t>Bombon Frutezza En Caja X 8</t>
  </si>
  <si>
    <t>Bombon Frutezza X Unidad</t>
  </si>
  <si>
    <t>ALFAJOR HELADO COOKIES caja x 6un</t>
  </si>
  <si>
    <t>ALFAJOR HELADO COOKIES UNIDAD</t>
  </si>
  <si>
    <t>PALITOS</t>
  </si>
  <si>
    <t>Palito Frutal x 20</t>
  </si>
  <si>
    <t>Palito Frutal x 10</t>
  </si>
  <si>
    <t>Palito Frutal x un</t>
  </si>
  <si>
    <t>Palito Crema x 20</t>
  </si>
  <si>
    <t>Palito Crema x 10</t>
  </si>
  <si>
    <t>Palito Crema x un</t>
  </si>
  <si>
    <t>Palito Bombón x 20</t>
  </si>
  <si>
    <t>Palito Bombón x 10</t>
  </si>
  <si>
    <t>Palito Bombón x un</t>
  </si>
  <si>
    <t>Palito Viral</t>
  </si>
  <si>
    <t>POSTRES Y TORTAS</t>
  </si>
  <si>
    <t>Almendrado En Caja X 8</t>
  </si>
  <si>
    <t>Almendrado X Unidad</t>
  </si>
  <si>
    <t>Casatta En Caja X 8</t>
  </si>
  <si>
    <t>Casatta X Unidad</t>
  </si>
  <si>
    <t>Crocantino</t>
  </si>
  <si>
    <t>BARRA DELICIA CHOCOLATE Y MANI</t>
  </si>
  <si>
    <t>TORTA GRIDO RELLENA</t>
  </si>
  <si>
    <t>Torta Frutilla</t>
  </si>
  <si>
    <t>Torta Cookies And Cream</t>
  </si>
  <si>
    <t>POTES</t>
  </si>
  <si>
    <t>Pote Familiar x 3 Lts</t>
  </si>
  <si>
    <t>Pote x 1Lt</t>
  </si>
  <si>
    <t>Promos Varias</t>
  </si>
  <si>
    <t>CONGELADOS</t>
  </si>
  <si>
    <t>Pizza Frizzio Mozzarella</t>
  </si>
  <si>
    <t>PIZZA FRIZZIO INTEGRAL</t>
  </si>
  <si>
    <t>PIZZA MOZ. Y CEBOLLA FRIZZIO</t>
  </si>
  <si>
    <t>PIZZA MOZ. Y JAMON FRIZZIO</t>
  </si>
  <si>
    <t>PIZZA TIPO CASERA</t>
  </si>
  <si>
    <t>Mini Pizza</t>
  </si>
  <si>
    <t>Bastoncitos</t>
  </si>
  <si>
    <t>Pechuguitas</t>
  </si>
  <si>
    <t>Empanadas x 4</t>
  </si>
  <si>
    <t>Frutas Bañadas x 120g.</t>
  </si>
  <si>
    <t>Estructura de Costos</t>
  </si>
  <si>
    <t>Costo promedio Kg</t>
  </si>
  <si>
    <t>ADICIONAL SALSAS</t>
  </si>
  <si>
    <t>Grs</t>
  </si>
  <si>
    <t>Helado</t>
  </si>
  <si>
    <t>Envase</t>
  </si>
  <si>
    <t>Oblea</t>
  </si>
  <si>
    <t>Cucharita</t>
  </si>
  <si>
    <t>Salsa/Baño</t>
  </si>
  <si>
    <t>Servilleta</t>
  </si>
  <si>
    <t>Croc/Crisp</t>
  </si>
  <si>
    <t>Juguete</t>
  </si>
  <si>
    <t>Tops</t>
  </si>
  <si>
    <t>Costo insumos c/Tops</t>
  </si>
  <si>
    <t>Costo total con Tops</t>
  </si>
  <si>
    <t>unidades mix</t>
  </si>
  <si>
    <t>gramaje x prod</t>
  </si>
  <si>
    <t xml:space="preserve">Cucurucho Gigante </t>
  </si>
  <si>
    <t>Cucurucho Gigante 3 bochas</t>
  </si>
  <si>
    <t>Cucurucho económico</t>
  </si>
  <si>
    <t>Bolsa</t>
  </si>
  <si>
    <t>Serv/Cuchara</t>
  </si>
  <si>
    <t>Folex</t>
  </si>
  <si>
    <t>ok</t>
  </si>
  <si>
    <t>Pote 1 Kg</t>
  </si>
  <si>
    <t>Pote 1/2 Kg</t>
  </si>
  <si>
    <t>Pote 1/4Kg</t>
  </si>
  <si>
    <t>Cuchara/Sorbe</t>
  </si>
  <si>
    <t>Salsa</t>
  </si>
  <si>
    <t>Leche/Beb</t>
  </si>
  <si>
    <t>Crema Chan</t>
  </si>
  <si>
    <t>Topping</t>
  </si>
  <si>
    <t>Batido Grido</t>
  </si>
  <si>
    <t>Sundae GO</t>
  </si>
  <si>
    <t>Bolsa/Serv</t>
  </si>
  <si>
    <t>Bombón Crocante x 8</t>
  </si>
  <si>
    <t>Bombón Crocante x un</t>
  </si>
  <si>
    <t>Bombón Escocés x 8</t>
  </si>
  <si>
    <t>Bombón Escocés x un</t>
  </si>
  <si>
    <t>Bombón Suizo x 8</t>
  </si>
  <si>
    <t>Bombón Suizo x un</t>
  </si>
  <si>
    <t>Bombón Vainilla Split x 8</t>
  </si>
  <si>
    <t>Bombón Vainilla Split x un.</t>
  </si>
  <si>
    <t>ALFAJOR SHOT caja x 6un</t>
  </si>
  <si>
    <t>ALFAJOR SHOT UNIDAD</t>
  </si>
  <si>
    <t>Almendrado x 8</t>
  </si>
  <si>
    <t>Almendrado x un</t>
  </si>
  <si>
    <t>Cassata x 8</t>
  </si>
  <si>
    <t>Cassata x un</t>
  </si>
  <si>
    <t>Delicia</t>
  </si>
  <si>
    <t>Torta Grido</t>
  </si>
  <si>
    <t>Torta Milka</t>
  </si>
  <si>
    <t>Torta Oreo</t>
  </si>
  <si>
    <t xml:space="preserve">Yogurt sin TACC x 12 </t>
  </si>
  <si>
    <t>Yogurt sin TACC x un.</t>
  </si>
  <si>
    <t>Helado sin azucar x 12</t>
  </si>
  <si>
    <t>Helado sin azucar x un.</t>
  </si>
  <si>
    <t>Cups Vaso</t>
  </si>
  <si>
    <t>Pote Familiar x 3 Lts.</t>
  </si>
  <si>
    <t>Pote x 1Lt.</t>
  </si>
  <si>
    <t>Pote x 1Lt. Premium</t>
  </si>
  <si>
    <t>OTROS</t>
  </si>
  <si>
    <t>Insumos</t>
  </si>
  <si>
    <t xml:space="preserve">Mini Salsa </t>
  </si>
  <si>
    <t>Cups Cucuruchos</t>
  </si>
  <si>
    <t>Promos y/o C. Gastronómico</t>
  </si>
  <si>
    <t>Insumos Vs</t>
  </si>
  <si>
    <t>CUCURUCHO ACCESIBLE</t>
  </si>
  <si>
    <t>Congelado</t>
  </si>
  <si>
    <t>Pizza Casera</t>
  </si>
  <si>
    <t>1 Mini Pizza</t>
  </si>
  <si>
    <t>1 Bastoncito Muzzarella</t>
  </si>
  <si>
    <t>1 Pechuguita de pollo</t>
  </si>
  <si>
    <t>1 Empanadas 18 x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</si>
</sst>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4" formatCode="_-&quot;$&quot;\ * #,##0.00_-;\-&quot;$&quot;\ * #,##0.00_-;_-&quot;$&quot;\ * &quot;-&quot;??_-;_-@_-"/>
    <numFmt numFmtId="164" formatCode="0.0%"/>
    <numFmt numFmtId="165" formatCode="0.000"/>
    <numFmt numFmtId="166" formatCode="&quot;$&quot;\ #,##0"/>
    <numFmt numFmtId="167" formatCode="_ &quot;$&quot;\ * #,##0.00_ ;_ &quot;$&quot;\ * \-#,##0.00_ ;_ &quot;$&quot;\ * &quot;-&quot;??_ ;_ @_ "/>
    <numFmt numFmtId="168" formatCode="_-&quot;$&quot;* #,##0.00_-;\-&quot;$&quot;* #,##0.00_-;_-&quot;$&quot;* &quot;-&quot;??_-;_-@_-"/>
    <numFmt numFmtId="169" formatCode="_ [$$-2C0A]\ * #,##0.00_ ;_ [$$-2C0A]\ * \-#,##0.00_ ;_ [$$-2C0A]\ * &quot;-&quot;??_ ;_ @_ "/>
    <numFmt numFmtId="170" formatCode="&quot;$&quot;\ #,##0.00"/>
  </numFmts>
  <fonts count="14" x14ac:knownFonts="1">
    <font>
      <sz val="10"/>
      <color theme="1"/>
      <name val="Tahom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0"/>
      <name val="Calibri"/>
      <family val="2"/>
      <scheme val="minor"/>
    </font>
    <font>
      <sz val="18"/>
      <color indexed="9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0"/>
      <color indexed="9"/>
      <name val="Calibri"/>
      <family val="2"/>
      <scheme val="minor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indexed="9"/>
      <name val="Calibri"/>
      <family val="2"/>
      <scheme val="minor"/>
    </font>
    <font>
      <sz val="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theme="3" tint="-0.24997711111789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8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" fillId="0" borderId="0"/>
    <xf numFmtId="0" fontId="1" fillId="0" borderId="0"/>
  </cellStyleXfs>
  <cellXfs count="56">
    <xf numFmtId="0" fontId="0" fillId="0" borderId="0" xfId="0"/>
    <xf numFmtId="0" fontId="4" fillId="0" borderId="0" xfId="0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5" fillId="3" borderId="0" xfId="0" applyFont="1" applyFill="1" applyAlignment="1">
      <alignment horizontal="centerContinuous"/>
    </xf>
    <xf numFmtId="0" fontId="7" fillId="4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166" fontId="9" fillId="7" borderId="0" xfId="0" applyNumberFormat="1" applyFont="1" applyFill="1" applyAlignment="1">
      <alignment horizontal="center" vertical="center"/>
    </xf>
    <xf numFmtId="167" fontId="4" fillId="0" borderId="0" xfId="0" applyNumberFormat="1" applyFont="1"/>
    <xf numFmtId="9" fontId="4" fillId="8" borderId="0" xfId="2" applyFont="1" applyFill="1" applyAlignment="1">
      <alignment horizontal="center"/>
    </xf>
    <xf numFmtId="167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1" fillId="0" borderId="0" xfId="3"/>
    <xf numFmtId="0" fontId="4" fillId="0" borderId="0" xfId="3" applyFont="1"/>
    <xf numFmtId="0" fontId="7" fillId="5" borderId="0" xfId="0" applyFont="1" applyFill="1" applyAlignment="1">
      <alignment horizontal="center"/>
    </xf>
    <xf numFmtId="164" fontId="4" fillId="10" borderId="0" xfId="0" applyNumberFormat="1" applyFont="1" applyFill="1" applyAlignment="1">
      <alignment horizontal="center"/>
    </xf>
    <xf numFmtId="9" fontId="4" fillId="10" borderId="0" xfId="0" applyNumberFormat="1" applyFont="1" applyFill="1" applyAlignment="1">
      <alignment horizontal="center"/>
    </xf>
    <xf numFmtId="44" fontId="4" fillId="0" borderId="0" xfId="0" applyNumberFormat="1" applyFont="1"/>
    <xf numFmtId="0" fontId="2" fillId="0" borderId="0" xfId="3" applyFont="1"/>
    <xf numFmtId="0" fontId="9" fillId="0" borderId="0" xfId="0" applyFont="1"/>
    <xf numFmtId="0" fontId="1" fillId="0" borderId="0" xfId="4"/>
    <xf numFmtId="0" fontId="10" fillId="0" borderId="0" xfId="0" applyFont="1" applyAlignment="1">
      <alignment vertical="center"/>
    </xf>
    <xf numFmtId="2" fontId="4" fillId="0" borderId="0" xfId="0" applyNumberFormat="1" applyFont="1"/>
    <xf numFmtId="0" fontId="11" fillId="0" borderId="0" xfId="3" applyFont="1"/>
    <xf numFmtId="168" fontId="4" fillId="0" borderId="0" xfId="1" applyFont="1"/>
    <xf numFmtId="0" fontId="0" fillId="0" borderId="1" xfId="0" applyBorder="1"/>
    <xf numFmtId="169" fontId="4" fillId="0" borderId="0" xfId="0" applyNumberFormat="1" applyFont="1"/>
    <xf numFmtId="0" fontId="2" fillId="11" borderId="2" xfId="0" applyFont="1" applyFill="1" applyBorder="1"/>
    <xf numFmtId="0" fontId="12" fillId="6" borderId="0" xfId="0" applyFont="1" applyFill="1" applyAlignment="1">
      <alignment horizontal="right"/>
    </xf>
    <xf numFmtId="170" fontId="12" fillId="6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8" fillId="14" borderId="0" xfId="0" applyFont="1" applyFill="1" applyAlignment="1">
      <alignment horizontal="center"/>
    </xf>
    <xf numFmtId="167" fontId="8" fillId="6" borderId="0" xfId="0" applyNumberFormat="1" applyFont="1" applyFill="1"/>
    <xf numFmtId="167" fontId="8" fillId="15" borderId="0" xfId="0" applyNumberFormat="1" applyFont="1" applyFill="1"/>
    <xf numFmtId="167" fontId="4" fillId="16" borderId="0" xfId="0" applyNumberFormat="1" applyFont="1" applyFill="1"/>
    <xf numFmtId="167" fontId="8" fillId="6" borderId="0" xfId="0" applyNumberFormat="1" applyFont="1" applyFill="1" applyAlignment="1">
      <alignment horizontal="center"/>
    </xf>
    <xf numFmtId="0" fontId="9" fillId="9" borderId="0" xfId="0" applyFont="1" applyFill="1"/>
    <xf numFmtId="2" fontId="9" fillId="12" borderId="0" xfId="0" applyNumberFormat="1" applyFont="1" applyFill="1" applyAlignment="1">
      <alignment horizontal="center"/>
    </xf>
    <xf numFmtId="2" fontId="4" fillId="17" borderId="0" xfId="0" applyNumberFormat="1" applyFont="1" applyFill="1" applyAlignment="1">
      <alignment horizontal="center"/>
    </xf>
    <xf numFmtId="0" fontId="4" fillId="17" borderId="0" xfId="0" applyFont="1" applyFill="1"/>
    <xf numFmtId="2" fontId="4" fillId="17" borderId="0" xfId="0" applyNumberFormat="1" applyFont="1" applyFill="1"/>
    <xf numFmtId="167" fontId="4" fillId="17" borderId="0" xfId="0" applyNumberFormat="1" applyFont="1" applyFill="1"/>
    <xf numFmtId="0" fontId="6" fillId="14" borderId="0" xfId="0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7" fontId="6" fillId="14" borderId="0" xfId="0" applyNumberFormat="1" applyFont="1" applyFill="1" applyAlignment="1">
      <alignment horizontal="center"/>
    </xf>
    <xf numFmtId="167" fontId="4" fillId="16" borderId="0" xfId="0" applyNumberFormat="1" applyFont="1" applyFill="1" applyAlignment="1">
      <alignment horizontal="center"/>
    </xf>
    <xf numFmtId="0" fontId="10" fillId="0" borderId="3" xfId="0" applyFont="1" applyBorder="1" applyAlignment="1">
      <alignment vertical="center"/>
    </xf>
    <xf numFmtId="0" fontId="6" fillId="14" borderId="0" xfId="0" applyFont="1" applyFill="1"/>
    <xf numFmtId="167" fontId="8" fillId="0" borderId="0" xfId="0" applyNumberFormat="1" applyFont="1" applyAlignment="1">
      <alignment horizontal="center"/>
    </xf>
    <xf numFmtId="167" fontId="8" fillId="0" borderId="0" xfId="0" applyNumberFormat="1" applyFont="1"/>
    <xf numFmtId="0" fontId="8" fillId="0" borderId="0" xfId="0" applyFont="1" applyAlignment="1">
      <alignment horizontal="center"/>
    </xf>
    <xf numFmtId="167" fontId="4" fillId="9" borderId="0" xfId="0" applyNumberFormat="1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</cellXfs>
  <cellStyles count="5">
    <cellStyle name="Moneda" xfId="1" builtinId="4"/>
    <cellStyle name="Normal" xfId="0" builtinId="0"/>
    <cellStyle name="Normal 7" xfId="4"/>
    <cellStyle name="Normal 8" xfId="3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aston/Downloads/ER_35K%20%20%2001_06_26%20CENTRO-LITORAL%2035%20m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pones"/>
      <sheetName val="NUEVO precio Helado HELACOR"/>
      <sheetName val="ER Modelo 35K"/>
      <sheetName val="Rent x línea PAT. BSAS"/>
      <sheetName val="DELIVERY"/>
      <sheetName val="Rent x línea País"/>
      <sheetName val="Grido MKT"/>
      <sheetName val="Estructura"/>
      <sheetName val="Costos Insumos"/>
      <sheetName val="FLETES LUZ ALQUILER"/>
      <sheetName val="ldpMH-insumos"/>
      <sheetName val="%Mix Vtas"/>
      <sheetName val="MIX KG -Unid"/>
      <sheetName val="vegs"/>
      <sheetName val="Exp Mix vta"/>
      <sheetName val="Mix Compras"/>
    </sheetNames>
    <sheetDataSet>
      <sheetData sheetId="0"/>
      <sheetData sheetId="1">
        <row r="8">
          <cell r="E8">
            <v>4060.0438918347645</v>
          </cell>
          <cell r="F8">
            <v>507.50548647934556</v>
          </cell>
        </row>
        <row r="9">
          <cell r="E9">
            <v>4553.254498749885</v>
          </cell>
          <cell r="F9">
            <v>569.15681234373562</v>
          </cell>
        </row>
        <row r="10">
          <cell r="E10">
            <v>3848.1091199999996</v>
          </cell>
          <cell r="F10">
            <v>481.01363999999995</v>
          </cell>
        </row>
        <row r="11">
          <cell r="E11">
            <v>3848.1091199999996</v>
          </cell>
          <cell r="F11">
            <v>481.01363999999995</v>
          </cell>
        </row>
        <row r="12">
          <cell r="E12">
            <v>4607.1360877876714</v>
          </cell>
          <cell r="F12">
            <v>767.85601463127853</v>
          </cell>
        </row>
        <row r="13">
          <cell r="E13">
            <v>4229.2123873278797</v>
          </cell>
          <cell r="F13">
            <v>528.65154841598496</v>
          </cell>
        </row>
        <row r="16">
          <cell r="E16">
            <v>6418.4</v>
          </cell>
          <cell r="F16">
            <v>320.91999999999996</v>
          </cell>
        </row>
        <row r="17">
          <cell r="E17">
            <v>3209.2</v>
          </cell>
        </row>
        <row r="18">
          <cell r="E18">
            <v>3765.0880999999999</v>
          </cell>
          <cell r="F18">
            <v>188.25440499999999</v>
          </cell>
        </row>
        <row r="19">
          <cell r="E19">
            <v>1882.54405</v>
          </cell>
        </row>
        <row r="20">
          <cell r="E20">
            <v>2648.6542999999997</v>
          </cell>
          <cell r="F20">
            <v>132.43271499999997</v>
          </cell>
        </row>
        <row r="21">
          <cell r="E21">
            <v>1324.3271499999998</v>
          </cell>
        </row>
        <row r="24">
          <cell r="E24">
            <v>5796.0750785014961</v>
          </cell>
        </row>
        <row r="25">
          <cell r="E25">
            <v>2498.9324652492132</v>
          </cell>
        </row>
        <row r="29">
          <cell r="E29">
            <v>2736.9348585523499</v>
          </cell>
          <cell r="F29">
            <v>342.11685731904373</v>
          </cell>
        </row>
        <row r="30">
          <cell r="E30">
            <v>2424.0051251180766</v>
          </cell>
          <cell r="F30">
            <v>303.00064063975958</v>
          </cell>
        </row>
        <row r="31">
          <cell r="E31">
            <v>3205.6921898484861</v>
          </cell>
        </row>
        <row r="32">
          <cell r="E32">
            <v>3205.6921898484861</v>
          </cell>
        </row>
        <row r="33">
          <cell r="E33">
            <v>5201.2452331993973</v>
          </cell>
        </row>
        <row r="34">
          <cell r="E34">
            <v>5201.2452331993973</v>
          </cell>
        </row>
        <row r="36">
          <cell r="E36">
            <v>8399.380944026103</v>
          </cell>
          <cell r="F36">
            <v>699.94841200217525</v>
          </cell>
        </row>
        <row r="37">
          <cell r="E37">
            <v>8399.380944026103</v>
          </cell>
          <cell r="F37">
            <v>699.94841200217525</v>
          </cell>
        </row>
        <row r="38">
          <cell r="E38">
            <v>8399.380944026103</v>
          </cell>
          <cell r="F38">
            <v>699.94841200217525</v>
          </cell>
        </row>
        <row r="40">
          <cell r="F40">
            <v>1752.9239346624781</v>
          </cell>
        </row>
        <row r="41">
          <cell r="F41">
            <v>3306.03106068639</v>
          </cell>
        </row>
        <row r="44">
          <cell r="F44">
            <v>3349.3527167764532</v>
          </cell>
        </row>
      </sheetData>
      <sheetData sheetId="2"/>
      <sheetData sheetId="3"/>
      <sheetData sheetId="4"/>
      <sheetData sheetId="5"/>
      <sheetData sheetId="6"/>
      <sheetData sheetId="7">
        <row r="7">
          <cell r="D7">
            <v>0</v>
          </cell>
          <cell r="Q7">
            <v>106.60552691240001</v>
          </cell>
        </row>
        <row r="8">
          <cell r="Q8">
            <v>679.26014745554698</v>
          </cell>
        </row>
        <row r="9">
          <cell r="Q9">
            <v>947.20836479766308</v>
          </cell>
        </row>
        <row r="10">
          <cell r="Q10">
            <v>839.10545766424207</v>
          </cell>
        </row>
        <row r="11">
          <cell r="Q11">
            <v>1069.5115615501581</v>
          </cell>
        </row>
        <row r="12">
          <cell r="Q12">
            <v>411.31193011343066</v>
          </cell>
        </row>
        <row r="13">
          <cell r="Q13">
            <v>647.35939032212582</v>
          </cell>
        </row>
        <row r="14">
          <cell r="Q14">
            <v>417.87909678009731</v>
          </cell>
        </row>
        <row r="15">
          <cell r="Q15">
            <v>685.82731412221358</v>
          </cell>
        </row>
        <row r="16">
          <cell r="Q16">
            <v>953.77553146432979</v>
          </cell>
        </row>
      </sheetData>
      <sheetData sheetId="8">
        <row r="7">
          <cell r="E7">
            <v>91.229166666666671</v>
          </cell>
        </row>
        <row r="13">
          <cell r="E13">
            <v>338.0675</v>
          </cell>
        </row>
        <row r="41">
          <cell r="E41">
            <v>3494.891304347826</v>
          </cell>
        </row>
        <row r="42">
          <cell r="E42">
            <v>20327</v>
          </cell>
        </row>
        <row r="43">
          <cell r="E43">
            <v>12669</v>
          </cell>
        </row>
        <row r="45">
          <cell r="E45">
            <v>2755.975609756098</v>
          </cell>
        </row>
        <row r="46">
          <cell r="E46">
            <v>9260.7352941176468</v>
          </cell>
        </row>
        <row r="47">
          <cell r="E47">
            <v>1176</v>
          </cell>
        </row>
        <row r="48">
          <cell r="E48">
            <v>5783</v>
          </cell>
        </row>
        <row r="49">
          <cell r="E49">
            <v>13314.8</v>
          </cell>
        </row>
        <row r="52">
          <cell r="E52">
            <v>7646.125</v>
          </cell>
        </row>
        <row r="55">
          <cell r="E55">
            <v>531.42617092499984</v>
          </cell>
        </row>
        <row r="56">
          <cell r="E56">
            <v>1964.9714285714285</v>
          </cell>
        </row>
        <row r="59">
          <cell r="E59">
            <v>1096.42</v>
          </cell>
        </row>
      </sheetData>
      <sheetData sheetId="9"/>
      <sheetData sheetId="10"/>
      <sheetData sheetId="11"/>
      <sheetData sheetId="12">
        <row r="3">
          <cell r="A3" t="str">
            <v>CUCURUCHOS</v>
          </cell>
          <cell r="C3" t="str">
            <v>Mostrador</v>
          </cell>
        </row>
        <row r="4">
          <cell r="A4" t="str">
            <v>Baño de Chocolate</v>
          </cell>
          <cell r="B4">
            <v>0</v>
          </cell>
        </row>
        <row r="5">
          <cell r="A5" t="str">
            <v>Gigante 2 bochas</v>
          </cell>
          <cell r="B5">
            <v>0.16</v>
          </cell>
          <cell r="C5">
            <v>11309.47443050069</v>
          </cell>
        </row>
        <row r="6">
          <cell r="A6" t="str">
            <v>Gigante 3 bochas</v>
          </cell>
          <cell r="B6">
            <v>0.24</v>
          </cell>
          <cell r="C6">
            <v>1456.6857923632513</v>
          </cell>
        </row>
        <row r="7">
          <cell r="A7" t="str">
            <v>Cucurucho Grido</v>
          </cell>
          <cell r="B7">
            <v>0.16</v>
          </cell>
          <cell r="C7">
            <v>1309.9280381276049</v>
          </cell>
        </row>
        <row r="8">
          <cell r="A8" t="str">
            <v>Maxi Grido</v>
          </cell>
          <cell r="B8">
            <v>0.24</v>
          </cell>
          <cell r="C8">
            <v>175.73078943746199</v>
          </cell>
        </row>
        <row r="9">
          <cell r="A9" t="str">
            <v>Mini Gigante</v>
          </cell>
          <cell r="B9">
            <v>0.08</v>
          </cell>
          <cell r="C9">
            <v>7670.4951398383428</v>
          </cell>
        </row>
        <row r="10">
          <cell r="A10" t="str">
            <v>Super Gridito</v>
          </cell>
          <cell r="B10">
            <v>0.08</v>
          </cell>
          <cell r="C10">
            <v>444.50705822179947</v>
          </cell>
        </row>
        <row r="11">
          <cell r="A11" t="str">
            <v>Tacita 1 Bocha</v>
          </cell>
          <cell r="B11">
            <v>0.08</v>
          </cell>
          <cell r="C11">
            <v>1277.0265835789739</v>
          </cell>
        </row>
        <row r="12">
          <cell r="A12" t="str">
            <v>Tacita 2 Bochas</v>
          </cell>
          <cell r="B12">
            <v>0.16</v>
          </cell>
          <cell r="C12">
            <v>944.71699153882082</v>
          </cell>
        </row>
        <row r="13">
          <cell r="A13" t="str">
            <v>Tacita 3 Bochas</v>
          </cell>
          <cell r="B13">
            <v>0.24</v>
          </cell>
          <cell r="C13">
            <v>125.46813422463617</v>
          </cell>
        </row>
        <row r="14">
          <cell r="A14" t="str">
            <v>Sub Total</v>
          </cell>
          <cell r="C14">
            <v>22366.821248489152</v>
          </cell>
        </row>
        <row r="15">
          <cell r="A15" t="str">
            <v>GRANEL</v>
          </cell>
        </row>
        <row r="16">
          <cell r="A16" t="str">
            <v>1 Kilo</v>
          </cell>
          <cell r="B16">
            <v>1</v>
          </cell>
          <cell r="C16">
            <v>5010.0504237675623</v>
          </cell>
        </row>
        <row r="17">
          <cell r="A17" t="str">
            <v>1/2 Kilo</v>
          </cell>
          <cell r="B17">
            <v>0.5</v>
          </cell>
          <cell r="C17">
            <v>4862.8741910794215</v>
          </cell>
        </row>
        <row r="18">
          <cell r="A18" t="str">
            <v>1/4 Kilo</v>
          </cell>
          <cell r="B18">
            <v>0.25</v>
          </cell>
          <cell r="C18">
            <v>6305.7162638251002</v>
          </cell>
        </row>
        <row r="19">
          <cell r="A19" t="str">
            <v>kilo clasico</v>
          </cell>
          <cell r="B19">
            <v>1</v>
          </cell>
          <cell r="C19">
            <v>420</v>
          </cell>
        </row>
        <row r="20">
          <cell r="A20" t="str">
            <v>Sub Total</v>
          </cell>
          <cell r="C20">
            <v>16178.640878672082</v>
          </cell>
        </row>
        <row r="21">
          <cell r="A21" t="str">
            <v>LINEAS ESPECIALES</v>
          </cell>
        </row>
        <row r="22">
          <cell r="A22" t="str">
            <v>Grido Batido</v>
          </cell>
          <cell r="B22">
            <v>0.16</v>
          </cell>
          <cell r="C22">
            <v>1437.1875</v>
          </cell>
        </row>
        <row r="23">
          <cell r="A23" t="str">
            <v>Batido Nesquik</v>
          </cell>
          <cell r="B23">
            <v>0.16</v>
          </cell>
          <cell r="C23">
            <v>564.05186133984148</v>
          </cell>
        </row>
        <row r="24">
          <cell r="A24" t="str">
            <v>Capuccino Grido</v>
          </cell>
          <cell r="B24">
            <v>0.16</v>
          </cell>
          <cell r="C24">
            <v>292.46365722584528</v>
          </cell>
        </row>
        <row r="25">
          <cell r="A25" t="str">
            <v>Smoothie Grido</v>
          </cell>
          <cell r="B25">
            <v>3.5000000000000003E-2</v>
          </cell>
          <cell r="C25">
            <v>237.04084493023171</v>
          </cell>
        </row>
        <row r="26">
          <cell r="A26" t="str">
            <v>Sundae Frutal</v>
          </cell>
          <cell r="B26">
            <v>0.16</v>
          </cell>
          <cell r="C26">
            <v>116.4915829148744</v>
          </cell>
        </row>
        <row r="27">
          <cell r="A27" t="str">
            <v>YOGURT SIN TACC X 12 UNIDADES</v>
          </cell>
          <cell r="B27">
            <v>0.48</v>
          </cell>
          <cell r="C27">
            <v>3.04245145190148</v>
          </cell>
        </row>
        <row r="28">
          <cell r="A28" t="str">
            <v>YOGURT SIN TACC X UNIDAD</v>
          </cell>
          <cell r="B28">
            <v>0.08</v>
          </cell>
          <cell r="C28">
            <v>166.11332518244225</v>
          </cell>
        </row>
        <row r="29">
          <cell r="A29" t="str">
            <v>HELADO SA AGR X 12 UNIDADES</v>
          </cell>
          <cell r="B29">
            <v>0.48</v>
          </cell>
          <cell r="C29">
            <v>7.117903768513</v>
          </cell>
        </row>
        <row r="30">
          <cell r="A30" t="str">
            <v>HELADO SA AGR X UNIDAD</v>
          </cell>
          <cell r="B30">
            <v>0.08</v>
          </cell>
          <cell r="C30">
            <v>272.65944721737122</v>
          </cell>
        </row>
        <row r="31">
          <cell r="A31" t="str">
            <v>POSTRES VEG x 12 un.</v>
          </cell>
          <cell r="B31">
            <v>0.48</v>
          </cell>
          <cell r="C31">
            <v>1.3270668042990343</v>
          </cell>
        </row>
        <row r="32">
          <cell r="A32" t="str">
            <v>POSTRES VEG x un.</v>
          </cell>
          <cell r="B32">
            <v>0.08</v>
          </cell>
          <cell r="C32">
            <v>95.371616330547226</v>
          </cell>
        </row>
        <row r="33">
          <cell r="A33" t="str">
            <v>Capelina Frutal</v>
          </cell>
          <cell r="B33">
            <v>0.125</v>
          </cell>
          <cell r="C33">
            <v>54.605782935986383</v>
          </cell>
        </row>
        <row r="34">
          <cell r="A34" t="str">
            <v>Capelina Nuez</v>
          </cell>
          <cell r="B34">
            <v>0.125</v>
          </cell>
          <cell r="C34">
            <v>22.661927729095151</v>
          </cell>
        </row>
        <row r="35">
          <cell r="A35" t="str">
            <v>Capelina Frutilla</v>
          </cell>
          <cell r="B35">
            <v>0.125</v>
          </cell>
          <cell r="C35">
            <v>26.579036847466448</v>
          </cell>
        </row>
        <row r="36">
          <cell r="A36" t="str">
            <v>Capelina Tramontana</v>
          </cell>
          <cell r="B36">
            <v>0.125</v>
          </cell>
          <cell r="C36">
            <v>8.931310395978441</v>
          </cell>
        </row>
        <row r="37">
          <cell r="A37" t="str">
            <v>Sundae Go</v>
          </cell>
          <cell r="B37">
            <v>0.16</v>
          </cell>
          <cell r="C37">
            <v>816.77945743686666</v>
          </cell>
        </row>
        <row r="38">
          <cell r="A38" t="str">
            <v>Grido Toys 1 bocha</v>
          </cell>
          <cell r="B38">
            <v>0.08</v>
          </cell>
          <cell r="C38">
            <v>1070.1926659157546</v>
          </cell>
        </row>
        <row r="39">
          <cell r="A39" t="str">
            <v>Grido Toys 2 bochas</v>
          </cell>
          <cell r="B39">
            <v>0.16</v>
          </cell>
          <cell r="C39">
            <v>809.88775823726951</v>
          </cell>
        </row>
        <row r="40">
          <cell r="A40" t="str">
            <v>Sub Total</v>
          </cell>
          <cell r="C40">
            <v>4122.42477251126</v>
          </cell>
        </row>
        <row r="41">
          <cell r="A41" t="str">
            <v>BOMBONES</v>
          </cell>
        </row>
        <row r="42">
          <cell r="A42" t="str">
            <v>Bombon Crocante En Caja X 8</v>
          </cell>
          <cell r="B42">
            <v>0.56000000000000005</v>
          </cell>
          <cell r="C42">
            <v>238.09350404914474</v>
          </cell>
        </row>
        <row r="43">
          <cell r="A43" t="str">
            <v>Bombon Crocante X Unidad</v>
          </cell>
          <cell r="B43">
            <v>7.0000000000000007E-2</v>
          </cell>
          <cell r="C43">
            <v>407.81856218192377</v>
          </cell>
        </row>
        <row r="44">
          <cell r="A44" t="str">
            <v>Bombon Escoces En Caja X 8</v>
          </cell>
          <cell r="B44">
            <v>0.72</v>
          </cell>
          <cell r="C44">
            <v>983.58006750119489</v>
          </cell>
        </row>
        <row r="45">
          <cell r="A45" t="str">
            <v>Bombon Escoces X Unidad</v>
          </cell>
          <cell r="B45">
            <v>0.09</v>
          </cell>
          <cell r="C45">
            <v>1972.9562500732118</v>
          </cell>
        </row>
        <row r="46">
          <cell r="A46" t="str">
            <v>Bombon Suizo En Caja X 8</v>
          </cell>
          <cell r="B46">
            <v>0.68</v>
          </cell>
          <cell r="C46">
            <v>275.3286611305636</v>
          </cell>
        </row>
        <row r="47">
          <cell r="A47" t="str">
            <v>Bombon Suizo X Unidad</v>
          </cell>
          <cell r="B47">
            <v>8.5000000000000006E-2</v>
          </cell>
          <cell r="C47">
            <v>531.38469298960274</v>
          </cell>
        </row>
        <row r="48">
          <cell r="A48" t="str">
            <v>Bombón Vainilla Split En Caja x 8</v>
          </cell>
          <cell r="B48">
            <v>0.53600000000000003</v>
          </cell>
          <cell r="C48">
            <v>181.20494000519514</v>
          </cell>
        </row>
        <row r="49">
          <cell r="A49" t="str">
            <v>Bombón Vainilla Split x Unidad</v>
          </cell>
          <cell r="B49">
            <v>6.7000000000000004E-2</v>
          </cell>
          <cell r="C49">
            <v>323.32173050194666</v>
          </cell>
        </row>
        <row r="50">
          <cell r="A50" t="str">
            <v>Bombon Frutezza En Caja X 8</v>
          </cell>
          <cell r="B50">
            <v>0.59199999999999997</v>
          </cell>
          <cell r="C50">
            <v>225.22358491135316</v>
          </cell>
        </row>
        <row r="51">
          <cell r="A51" t="str">
            <v>Bombon Frutezza X Unidad</v>
          </cell>
          <cell r="B51">
            <v>7.3999999999999996E-2</v>
          </cell>
          <cell r="C51">
            <v>385.77431557749549</v>
          </cell>
        </row>
        <row r="52">
          <cell r="A52" t="str">
            <v>ALFAJOR HELADO COOKIES caja x 6un</v>
          </cell>
          <cell r="B52">
            <v>0.49199999999999999</v>
          </cell>
          <cell r="C52">
            <v>567.23057701027233</v>
          </cell>
        </row>
        <row r="53">
          <cell r="A53" t="str">
            <v>ALFAJOR HELADO COOKIES UNIDAD</v>
          </cell>
          <cell r="B53">
            <v>8.2100000000000006E-2</v>
          </cell>
          <cell r="C53">
            <v>1469.2655354033332</v>
          </cell>
        </row>
        <row r="54">
          <cell r="A54" t="str">
            <v>Sub Total</v>
          </cell>
          <cell r="C54">
            <v>4913.6884084327839</v>
          </cell>
        </row>
        <row r="55">
          <cell r="A55" t="str">
            <v>PALITOS</v>
          </cell>
        </row>
        <row r="56">
          <cell r="A56" t="str">
            <v>Palito Frutal x 20</v>
          </cell>
          <cell r="B56">
            <v>1.1000000000000001</v>
          </cell>
          <cell r="C56">
            <v>436.93297523930829</v>
          </cell>
        </row>
        <row r="57">
          <cell r="A57" t="str">
            <v>Palito Frutal x un</v>
          </cell>
          <cell r="B57">
            <v>5.5E-2</v>
          </cell>
          <cell r="C57">
            <v>6342.5084369590622</v>
          </cell>
        </row>
        <row r="58">
          <cell r="A58" t="str">
            <v>Palito Crema x 20</v>
          </cell>
          <cell r="B58">
            <v>0.82</v>
          </cell>
          <cell r="C58">
            <v>185.23763414109746</v>
          </cell>
        </row>
        <row r="59">
          <cell r="A59" t="str">
            <v>Palito Crema x un</v>
          </cell>
          <cell r="B59">
            <v>4.0999999999999995E-2</v>
          </cell>
          <cell r="C59">
            <v>3009.0577725327712</v>
          </cell>
        </row>
        <row r="60">
          <cell r="A60" t="str">
            <v>Palito Bombón x 20</v>
          </cell>
          <cell r="B60">
            <v>1</v>
          </cell>
          <cell r="C60">
            <v>406.71958498461385</v>
          </cell>
        </row>
        <row r="61">
          <cell r="A61" t="str">
            <v>Palito Bombón x un</v>
          </cell>
          <cell r="B61">
            <v>0.05</v>
          </cell>
          <cell r="C61">
            <v>5544.8470356716343</v>
          </cell>
        </row>
        <row r="64">
          <cell r="A64" t="str">
            <v>Sub Total</v>
          </cell>
          <cell r="C64">
            <v>15925.303439528489</v>
          </cell>
        </row>
        <row r="65">
          <cell r="A65" t="str">
            <v>POSTRES Y TORTAS</v>
          </cell>
        </row>
        <row r="66">
          <cell r="A66" t="str">
            <v>Almendrado En Caja X 8</v>
          </cell>
          <cell r="B66">
            <v>0.6</v>
          </cell>
          <cell r="C66">
            <v>185.5400248992388</v>
          </cell>
        </row>
        <row r="67">
          <cell r="A67" t="str">
            <v>Almendrado X Unidad</v>
          </cell>
          <cell r="B67">
            <v>7.4999999999999997E-2</v>
          </cell>
          <cell r="C67">
            <v>348.65236946741396</v>
          </cell>
        </row>
        <row r="68">
          <cell r="A68" t="str">
            <v>Casatta En Caja X 8</v>
          </cell>
          <cell r="B68">
            <v>0.6</v>
          </cell>
          <cell r="C68">
            <v>207.70857532969035</v>
          </cell>
        </row>
        <row r="69">
          <cell r="A69" t="str">
            <v>Casatta X Unidad</v>
          </cell>
          <cell r="B69">
            <v>7.4999999999999997E-2</v>
          </cell>
          <cell r="C69">
            <v>288.94994625537174</v>
          </cell>
        </row>
        <row r="70">
          <cell r="A70" t="str">
            <v>Crocantino</v>
          </cell>
          <cell r="B70">
            <v>0.65</v>
          </cell>
          <cell r="C70">
            <v>303.3026261530033</v>
          </cell>
        </row>
        <row r="71">
          <cell r="A71" t="str">
            <v>BARRA DELICIA CHOCOLATE Y MANI</v>
          </cell>
          <cell r="B71">
            <v>0.6</v>
          </cell>
          <cell r="C71">
            <v>115.62069532455335</v>
          </cell>
        </row>
        <row r="72">
          <cell r="A72" t="str">
            <v>POSTRE CREMOSO</v>
          </cell>
          <cell r="B72">
            <v>0.75</v>
          </cell>
          <cell r="C72">
            <v>0</v>
          </cell>
        </row>
        <row r="73">
          <cell r="B73">
            <v>1</v>
          </cell>
          <cell r="C73">
            <v>0</v>
          </cell>
        </row>
        <row r="74">
          <cell r="B74">
            <v>1</v>
          </cell>
          <cell r="C74">
            <v>0</v>
          </cell>
        </row>
        <row r="75">
          <cell r="A75" t="str">
            <v>TORTA GRIDO RELLENA</v>
          </cell>
          <cell r="B75">
            <v>1.0449999999999999</v>
          </cell>
          <cell r="C75">
            <v>377.32807133030934</v>
          </cell>
        </row>
        <row r="76">
          <cell r="A76" t="str">
            <v>Torta Frutilla</v>
          </cell>
          <cell r="B76">
            <v>1.0449999999999999</v>
          </cell>
          <cell r="C76">
            <v>405.49431023632724</v>
          </cell>
        </row>
        <row r="77">
          <cell r="A77" t="str">
            <v>Torta Cookies And Cream</v>
          </cell>
          <cell r="B77">
            <v>1.0449999999999999</v>
          </cell>
          <cell r="C77">
            <v>628.20024848505625</v>
          </cell>
        </row>
        <row r="78">
          <cell r="A78" t="str">
            <v>Sub Total</v>
          </cell>
          <cell r="C78">
            <v>2860.7968674809645</v>
          </cell>
        </row>
        <row r="79">
          <cell r="A79" t="str">
            <v>POTES</v>
          </cell>
        </row>
        <row r="80">
          <cell r="A80" t="str">
            <v>Pote Familiar x 3 Lts</v>
          </cell>
          <cell r="B80">
            <v>1.6</v>
          </cell>
          <cell r="C80">
            <v>1706.6456110900447</v>
          </cell>
        </row>
        <row r="81">
          <cell r="A81" t="str">
            <v>Pote x 1Lt - LIMON</v>
          </cell>
          <cell r="B81">
            <v>0.69</v>
          </cell>
          <cell r="C81">
            <v>0</v>
          </cell>
        </row>
        <row r="82">
          <cell r="A82" t="str">
            <v>Pote x 1Lt</v>
          </cell>
          <cell r="B82">
            <v>0.69</v>
          </cell>
          <cell r="C82">
            <v>1923.0404418660378</v>
          </cell>
        </row>
        <row r="83">
          <cell r="A83" t="str">
            <v>Pote x 1Lt Premium</v>
          </cell>
          <cell r="B83">
            <v>0.69</v>
          </cell>
          <cell r="C83">
            <v>0</v>
          </cell>
        </row>
        <row r="84">
          <cell r="A84" t="str">
            <v>Sub Total</v>
          </cell>
          <cell r="C84">
            <v>3629.6860529560827</v>
          </cell>
        </row>
        <row r="86">
          <cell r="A86" t="str">
            <v>CONGELADOS</v>
          </cell>
        </row>
        <row r="87">
          <cell r="A87" t="str">
            <v>Pizza Frizzio Mozzarella</v>
          </cell>
          <cell r="B87">
            <v>0.51</v>
          </cell>
          <cell r="C87">
            <v>219.93459194937762</v>
          </cell>
        </row>
        <row r="88">
          <cell r="A88" t="str">
            <v>PIZZA FRIZZIO INTEGRAL</v>
          </cell>
          <cell r="B88">
            <v>0.53</v>
          </cell>
          <cell r="C88">
            <v>20.312264086160354</v>
          </cell>
        </row>
        <row r="89">
          <cell r="A89" t="str">
            <v>PIZZA MOZ. Y CEBOLLA FRIZZIO</v>
          </cell>
          <cell r="B89">
            <v>0.54</v>
          </cell>
          <cell r="C89">
            <v>53.222172068007012</v>
          </cell>
        </row>
        <row r="90">
          <cell r="A90" t="str">
            <v>PIZZA MOZ. Y JAMON FRIZZIO</v>
          </cell>
          <cell r="B90">
            <v>0.53500000000000003</v>
          </cell>
          <cell r="C90">
            <v>176.37049743811309</v>
          </cell>
        </row>
        <row r="91">
          <cell r="A91" t="str">
            <v>PIZZA TIPO CASERA</v>
          </cell>
          <cell r="B91">
            <v>0.66500000000000004</v>
          </cell>
          <cell r="C91">
            <v>57.129984191578842</v>
          </cell>
        </row>
        <row r="92">
          <cell r="A92" t="str">
            <v>Mini Pizza</v>
          </cell>
          <cell r="B92">
            <v>0.2</v>
          </cell>
          <cell r="C92">
            <v>36.69059430995484</v>
          </cell>
        </row>
        <row r="93">
          <cell r="A93" t="str">
            <v>Bastoncitos</v>
          </cell>
          <cell r="B93">
            <v>0.38</v>
          </cell>
          <cell r="C93">
            <v>102.22515245920566</v>
          </cell>
        </row>
        <row r="94">
          <cell r="A94" t="str">
            <v>Pechuguitas</v>
          </cell>
          <cell r="B94">
            <v>0.38</v>
          </cell>
          <cell r="C94">
            <v>144.58291950583407</v>
          </cell>
        </row>
        <row r="95">
          <cell r="A95" t="str">
            <v>Frutas Bañadas x 120g.</v>
          </cell>
          <cell r="B95">
            <v>0.12</v>
          </cell>
          <cell r="C95">
            <v>700.99216791451408</v>
          </cell>
        </row>
        <row r="96">
          <cell r="A96" t="str">
            <v>Empanadas x 4</v>
          </cell>
          <cell r="B96">
            <v>0.42</v>
          </cell>
          <cell r="C96">
            <v>98.149960114739045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X107"/>
  <sheetViews>
    <sheetView tabSelected="1" topLeftCell="A83" zoomScale="85" zoomScaleNormal="85" workbookViewId="0">
      <selection activeCell="J100" sqref="J100"/>
    </sheetView>
  </sheetViews>
  <sheetFormatPr baseColWidth="10" defaultColWidth="9.28515625" defaultRowHeight="12.75" x14ac:dyDescent="0.2"/>
  <cols>
    <col min="1" max="1" width="4" style="1" customWidth="1"/>
    <col min="2" max="2" width="5.5703125" style="7" customWidth="1"/>
    <col min="3" max="3" width="29.42578125" style="1" customWidth="1"/>
    <col min="4" max="4" width="11.140625" style="1" bestFit="1" customWidth="1"/>
    <col min="5" max="5" width="11.7109375" style="1" customWidth="1"/>
    <col min="6" max="6" width="11.7109375" style="1" bestFit="1" customWidth="1"/>
    <col min="7" max="7" width="13.7109375" style="1" customWidth="1"/>
    <col min="8" max="8" width="14" style="1" customWidth="1"/>
    <col min="9" max="9" width="14.5703125" style="1" bestFit="1" customWidth="1"/>
    <col min="10" max="10" width="12.28515625" style="1" customWidth="1"/>
    <col min="11" max="13" width="14" style="1" customWidth="1"/>
    <col min="14" max="14" width="11" style="1" bestFit="1" customWidth="1"/>
    <col min="15" max="15" width="18.42578125" style="1" bestFit="1" customWidth="1"/>
    <col min="16" max="17" width="16.42578125" style="1" customWidth="1"/>
    <col min="18" max="16384" width="9.28515625" style="1"/>
  </cols>
  <sheetData>
    <row r="2" spans="2:24" ht="23.25" x14ac:dyDescent="0.35">
      <c r="B2" s="54" t="s">
        <v>95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4" spans="2:24" ht="15.75" x14ac:dyDescent="0.25">
      <c r="C4" s="29" t="s">
        <v>96</v>
      </c>
      <c r="D4" s="30">
        <f>'[1]NUEVO precio Helado HELACOR'!F44</f>
        <v>3349.3527167764532</v>
      </c>
      <c r="F4" s="1">
        <v>384.61538461538464</v>
      </c>
    </row>
    <row r="5" spans="2:24" x14ac:dyDescent="0.2">
      <c r="D5" s="31"/>
      <c r="E5" s="31"/>
      <c r="F5" s="31"/>
      <c r="G5" s="31"/>
      <c r="H5" s="32"/>
      <c r="I5" s="31"/>
      <c r="J5" s="32"/>
      <c r="K5" s="31"/>
      <c r="T5" s="55" t="s">
        <v>97</v>
      </c>
      <c r="U5" s="55"/>
      <c r="V5" s="55"/>
      <c r="W5" s="55"/>
      <c r="X5" s="55"/>
    </row>
    <row r="6" spans="2:24" x14ac:dyDescent="0.2">
      <c r="B6" s="33" t="s">
        <v>98</v>
      </c>
      <c r="C6" s="33" t="s">
        <v>11</v>
      </c>
      <c r="D6" s="33" t="s">
        <v>99</v>
      </c>
      <c r="E6" s="33" t="s">
        <v>100</v>
      </c>
      <c r="F6" s="33" t="s">
        <v>101</v>
      </c>
      <c r="G6" s="33" t="s">
        <v>102</v>
      </c>
      <c r="H6" s="33" t="s">
        <v>103</v>
      </c>
      <c r="I6" s="33" t="s">
        <v>104</v>
      </c>
      <c r="J6" s="33" t="s">
        <v>105</v>
      </c>
      <c r="K6" s="33" t="s">
        <v>106</v>
      </c>
      <c r="L6" s="33" t="s">
        <v>107</v>
      </c>
      <c r="M6" s="33" t="s">
        <v>9</v>
      </c>
      <c r="N6" s="33" t="s">
        <v>10</v>
      </c>
      <c r="P6" s="33" t="s">
        <v>108</v>
      </c>
      <c r="Q6" s="33" t="s">
        <v>109</v>
      </c>
      <c r="U6" s="1" t="s">
        <v>110</v>
      </c>
      <c r="V6" s="1" t="s">
        <v>111</v>
      </c>
    </row>
    <row r="7" spans="2:24" x14ac:dyDescent="0.2">
      <c r="C7" s="1" t="s">
        <v>12</v>
      </c>
      <c r="D7" s="34">
        <v>0</v>
      </c>
      <c r="E7" s="9">
        <v>0</v>
      </c>
      <c r="F7" s="9">
        <v>0</v>
      </c>
      <c r="G7" s="9">
        <v>0</v>
      </c>
      <c r="H7" s="9">
        <v>106.60552691240001</v>
      </c>
      <c r="I7" s="9">
        <v>0</v>
      </c>
      <c r="J7" s="9">
        <v>0</v>
      </c>
      <c r="K7" s="9"/>
      <c r="M7" s="35">
        <f>SUM(E7:K7)</f>
        <v>106.60552691240001</v>
      </c>
      <c r="N7" s="36">
        <f>SUM(D7:K7)</f>
        <v>106.60552691240001</v>
      </c>
      <c r="P7" s="35">
        <f>SUM(E7:L7)</f>
        <v>106.60552691240001</v>
      </c>
      <c r="Q7" s="36">
        <f>P7+D7</f>
        <v>106.60552691240001</v>
      </c>
      <c r="T7" s="1" t="s">
        <v>17</v>
      </c>
      <c r="U7" s="1">
        <f>+VLOOKUP(T7,'[1]MIX KG -Unid'!$A$3:$C$96,3,0)</f>
        <v>7670.4951398383428</v>
      </c>
      <c r="V7" s="1">
        <v>5.0000000000000001E-3</v>
      </c>
      <c r="W7" s="1">
        <f>+V7*U7</f>
        <v>38.352475699191714</v>
      </c>
    </row>
    <row r="8" spans="2:24" ht="15" x14ac:dyDescent="0.25">
      <c r="B8" s="12">
        <f>+B10</f>
        <v>0.16</v>
      </c>
      <c r="C8" s="1" t="s">
        <v>112</v>
      </c>
      <c r="D8" s="37">
        <f>B8*$D$4</f>
        <v>535.89643468423253</v>
      </c>
      <c r="E8" s="9">
        <v>91.229166666666671</v>
      </c>
      <c r="F8" s="9">
        <v>11.409700000000001</v>
      </c>
      <c r="G8" s="9">
        <v>17.007142857142856</v>
      </c>
      <c r="H8" s="9">
        <v>16.977303247504867</v>
      </c>
      <c r="I8" s="9">
        <v>6.7403999999999993</v>
      </c>
      <c r="J8" s="9">
        <v>0</v>
      </c>
      <c r="K8" s="9"/>
      <c r="L8" s="25"/>
      <c r="M8" s="35">
        <f>SUM(E8:K8)</f>
        <v>143.3637127713144</v>
      </c>
      <c r="N8" s="36">
        <f>SUM(D8:L8)</f>
        <v>679.26014745554698</v>
      </c>
      <c r="P8" s="35">
        <f t="shared" ref="P8:P12" si="0">E8+F8+G8+I8+L8+J8+H8</f>
        <v>143.3637127713144</v>
      </c>
      <c r="Q8" s="36">
        <f t="shared" ref="Q8:Q16" si="1">P8+D8</f>
        <v>679.26014745554698</v>
      </c>
      <c r="T8" s="13" t="s">
        <v>13</v>
      </c>
      <c r="U8" s="1">
        <f>+VLOOKUP(T8,'[1]MIX KG -Unid'!$A$3:$C$96,3,0)</f>
        <v>11309.47443050069</v>
      </c>
      <c r="V8" s="1">
        <v>7.0000000000000001E-3</v>
      </c>
      <c r="W8" s="1">
        <f t="shared" ref="W8:W9" si="2">+V8*U8</f>
        <v>79.166321013504827</v>
      </c>
    </row>
    <row r="9" spans="2:24" x14ac:dyDescent="0.2">
      <c r="B9" s="12">
        <f>+B11</f>
        <v>0.24</v>
      </c>
      <c r="C9" s="1" t="s">
        <v>113</v>
      </c>
      <c r="D9" s="37">
        <f>B9*$D$4</f>
        <v>803.84465202634874</v>
      </c>
      <c r="E9" s="9">
        <v>91.229166666666671</v>
      </c>
      <c r="F9" s="9">
        <v>11.409700000000001</v>
      </c>
      <c r="G9" s="9">
        <v>17.007142857142856</v>
      </c>
      <c r="H9" s="9">
        <v>16.977303247504867</v>
      </c>
      <c r="I9" s="9">
        <v>6.7403999999999993</v>
      </c>
      <c r="J9" s="9">
        <v>0</v>
      </c>
      <c r="K9" s="9"/>
      <c r="L9" s="25"/>
      <c r="M9" s="35">
        <f t="shared" ref="M9:M17" si="3">SUM(E9:K9)</f>
        <v>143.3637127713144</v>
      </c>
      <c r="N9" s="36">
        <f>SUM(D9:L9)</f>
        <v>947.20836479766319</v>
      </c>
      <c r="P9" s="35">
        <f t="shared" si="0"/>
        <v>143.3637127713144</v>
      </c>
      <c r="Q9" s="36">
        <f t="shared" si="1"/>
        <v>947.20836479766308</v>
      </c>
      <c r="T9" s="14" t="s">
        <v>14</v>
      </c>
      <c r="U9" s="1">
        <f>+VLOOKUP(T9,'[1]MIX KG -Unid'!$A$3:$C$96,3,0)</f>
        <v>1456.6857923632513</v>
      </c>
      <c r="V9" s="1">
        <v>0.01</v>
      </c>
      <c r="W9" s="1">
        <f t="shared" si="2"/>
        <v>14.566857923632513</v>
      </c>
    </row>
    <row r="10" spans="2:24" x14ac:dyDescent="0.2">
      <c r="B10" s="12">
        <f>+B12*2</f>
        <v>0.16</v>
      </c>
      <c r="C10" s="1" t="s">
        <v>15</v>
      </c>
      <c r="D10" s="37">
        <f t="shared" ref="D10:D16" si="4">B10*$D$4</f>
        <v>535.89643468423253</v>
      </c>
      <c r="E10" s="9">
        <v>91.229166666666671</v>
      </c>
      <c r="F10" s="9">
        <v>11.409700000000001</v>
      </c>
      <c r="G10" s="9">
        <v>17.007142857142856</v>
      </c>
      <c r="H10" s="9">
        <v>90.077613456199998</v>
      </c>
      <c r="I10" s="9">
        <v>6.7403999999999993</v>
      </c>
      <c r="J10" s="9">
        <f>0.015*'[1]Costos Insumos'!$E$48</f>
        <v>86.74499999999999</v>
      </c>
      <c r="K10" s="9"/>
      <c r="L10" s="25"/>
      <c r="M10" s="35">
        <f t="shared" si="3"/>
        <v>303.20902298000948</v>
      </c>
      <c r="N10" s="36">
        <f>SUM(D10:L10)</f>
        <v>839.10545766424207</v>
      </c>
      <c r="P10" s="35">
        <f t="shared" si="0"/>
        <v>303.20902298000954</v>
      </c>
      <c r="Q10" s="36">
        <f t="shared" si="1"/>
        <v>839.10545766424207</v>
      </c>
      <c r="U10" s="1">
        <f>+SUM(U7:U9)</f>
        <v>20436.655362702284</v>
      </c>
      <c r="W10" s="1">
        <f>+W9+W8+W7</f>
        <v>132.08565463632905</v>
      </c>
      <c r="X10" s="38">
        <f>+W10/U10</f>
        <v>6.4631737577466163E-3</v>
      </c>
    </row>
    <row r="11" spans="2:24" x14ac:dyDescent="0.2">
      <c r="B11" s="12">
        <f>+B12*3</f>
        <v>0.24</v>
      </c>
      <c r="C11" s="1" t="s">
        <v>16</v>
      </c>
      <c r="D11" s="37">
        <f t="shared" si="4"/>
        <v>803.84465202634874</v>
      </c>
      <c r="E11" s="9">
        <v>91.229166666666671</v>
      </c>
      <c r="F11" s="9">
        <v>11.409700000000001</v>
      </c>
      <c r="G11" s="9">
        <v>17.007142857142856</v>
      </c>
      <c r="H11" s="9">
        <v>52.535500000000006</v>
      </c>
      <c r="I11" s="9">
        <v>6.7403999999999993</v>
      </c>
      <c r="J11" s="9">
        <f>0.015*'[1]Costos Insumos'!$E$48</f>
        <v>86.74499999999999</v>
      </c>
      <c r="K11" s="9"/>
      <c r="L11" s="25"/>
      <c r="M11" s="35">
        <f t="shared" si="3"/>
        <v>265.66690952380952</v>
      </c>
      <c r="N11" s="36">
        <f t="shared" ref="N11:N17" si="5">SUM(D11:L11)</f>
        <v>1069.5115615501581</v>
      </c>
      <c r="P11" s="35">
        <f t="shared" si="0"/>
        <v>265.66690952380952</v>
      </c>
      <c r="Q11" s="36">
        <f t="shared" si="1"/>
        <v>1069.5115615501581</v>
      </c>
    </row>
    <row r="12" spans="2:24" x14ac:dyDescent="0.2">
      <c r="B12" s="12">
        <f>+B13</f>
        <v>0.08</v>
      </c>
      <c r="C12" s="1" t="s">
        <v>17</v>
      </c>
      <c r="D12" s="37">
        <f t="shared" si="4"/>
        <v>267.94821734211627</v>
      </c>
      <c r="E12" s="9">
        <v>91.229166666666671</v>
      </c>
      <c r="F12" s="9">
        <v>11.409700000000001</v>
      </c>
      <c r="G12" s="9">
        <v>17.007142857142856</v>
      </c>
      <c r="H12" s="9">
        <v>16.977303247504867</v>
      </c>
      <c r="I12" s="9">
        <v>6.7403999999999993</v>
      </c>
      <c r="J12" s="9">
        <v>0</v>
      </c>
      <c r="K12" s="9"/>
      <c r="L12" s="25"/>
      <c r="M12" s="35">
        <f t="shared" si="3"/>
        <v>143.3637127713144</v>
      </c>
      <c r="N12" s="36">
        <f t="shared" si="5"/>
        <v>411.31193011343072</v>
      </c>
      <c r="P12" s="35">
        <f t="shared" si="0"/>
        <v>143.3637127713144</v>
      </c>
      <c r="Q12" s="36">
        <f t="shared" si="1"/>
        <v>411.31193011343066</v>
      </c>
      <c r="X12" s="1">
        <v>3.2000000000000002E-3</v>
      </c>
    </row>
    <row r="13" spans="2:24" x14ac:dyDescent="0.2">
      <c r="B13" s="12">
        <f>+B14</f>
        <v>0.08</v>
      </c>
      <c r="C13" s="1" t="s">
        <v>18</v>
      </c>
      <c r="D13" s="37">
        <f t="shared" si="4"/>
        <v>267.94821734211627</v>
      </c>
      <c r="E13" s="9">
        <v>91.229166666666671</v>
      </c>
      <c r="F13" s="9">
        <v>11.409700000000001</v>
      </c>
      <c r="G13" s="9">
        <v>17.007142857142856</v>
      </c>
      <c r="H13" s="9">
        <v>53.302763456200005</v>
      </c>
      <c r="I13" s="9">
        <v>6.7403999999999993</v>
      </c>
      <c r="J13" s="9">
        <f>0.015*'[1]Costos Insumos'!E49</f>
        <v>199.72199999999998</v>
      </c>
      <c r="K13" s="9"/>
      <c r="M13" s="35">
        <f t="shared" si="3"/>
        <v>379.4111729800095</v>
      </c>
      <c r="N13" s="36">
        <f t="shared" si="5"/>
        <v>647.35939032212582</v>
      </c>
      <c r="P13" s="35">
        <f>E13+F13+G13+I13+L13+J13+H13</f>
        <v>379.4111729800095</v>
      </c>
      <c r="Q13" s="36">
        <f t="shared" si="1"/>
        <v>647.35939032212582</v>
      </c>
    </row>
    <row r="14" spans="2:24" x14ac:dyDescent="0.2">
      <c r="B14" s="39">
        <v>0.08</v>
      </c>
      <c r="C14" s="1" t="s">
        <v>19</v>
      </c>
      <c r="D14" s="37">
        <f t="shared" si="4"/>
        <v>267.94821734211627</v>
      </c>
      <c r="E14" s="9">
        <v>97.796333333333322</v>
      </c>
      <c r="F14" s="9">
        <v>11.409700000000001</v>
      </c>
      <c r="G14" s="9">
        <v>17.007142857142856</v>
      </c>
      <c r="H14" s="9">
        <v>16.977303247504867</v>
      </c>
      <c r="I14" s="9">
        <v>6.7403999999999993</v>
      </c>
      <c r="J14" s="9">
        <v>0</v>
      </c>
      <c r="K14" s="9"/>
      <c r="L14" s="25"/>
      <c r="M14" s="35">
        <f t="shared" si="3"/>
        <v>149.93087943798105</v>
      </c>
      <c r="N14" s="36">
        <f t="shared" si="5"/>
        <v>417.87909678009737</v>
      </c>
      <c r="P14" s="35">
        <f t="shared" ref="P14:P16" si="6">E14+F14+G14+I14+L14+J14+H14</f>
        <v>149.93087943798105</v>
      </c>
      <c r="Q14" s="36">
        <f>P14+D14</f>
        <v>417.87909678009731</v>
      </c>
    </row>
    <row r="15" spans="2:24" x14ac:dyDescent="0.2">
      <c r="B15" s="12">
        <f>+B14*2</f>
        <v>0.16</v>
      </c>
      <c r="C15" s="1" t="s">
        <v>20</v>
      </c>
      <c r="D15" s="37">
        <f t="shared" si="4"/>
        <v>535.89643468423253</v>
      </c>
      <c r="E15" s="9">
        <v>97.796333333333322</v>
      </c>
      <c r="F15" s="9">
        <v>11.409700000000001</v>
      </c>
      <c r="G15" s="9">
        <v>17.007142857142856</v>
      </c>
      <c r="H15" s="9">
        <v>16.977303247504867</v>
      </c>
      <c r="I15" s="9">
        <v>6.7403999999999993</v>
      </c>
      <c r="J15" s="9">
        <v>0</v>
      </c>
      <c r="K15" s="9"/>
      <c r="L15" s="25"/>
      <c r="M15" s="35">
        <f t="shared" si="3"/>
        <v>149.93087943798105</v>
      </c>
      <c r="N15" s="36">
        <f t="shared" si="5"/>
        <v>685.82731412221369</v>
      </c>
      <c r="P15" s="35">
        <f t="shared" si="6"/>
        <v>149.93087943798105</v>
      </c>
      <c r="Q15" s="36">
        <f t="shared" si="1"/>
        <v>685.82731412221358</v>
      </c>
    </row>
    <row r="16" spans="2:24" x14ac:dyDescent="0.2">
      <c r="B16" s="12">
        <f>+B14*3</f>
        <v>0.24</v>
      </c>
      <c r="C16" s="1" t="s">
        <v>21</v>
      </c>
      <c r="D16" s="37">
        <f t="shared" si="4"/>
        <v>803.84465202634874</v>
      </c>
      <c r="E16" s="9">
        <v>97.796333333333322</v>
      </c>
      <c r="F16" s="9">
        <v>11.409700000000001</v>
      </c>
      <c r="G16" s="9">
        <v>17.007142857142856</v>
      </c>
      <c r="H16" s="9">
        <v>16.977303247504867</v>
      </c>
      <c r="I16" s="9">
        <v>6.7403999999999993</v>
      </c>
      <c r="J16" s="9">
        <v>0</v>
      </c>
      <c r="K16" s="9"/>
      <c r="L16" s="25"/>
      <c r="M16" s="35">
        <f t="shared" si="3"/>
        <v>149.93087943798105</v>
      </c>
      <c r="N16" s="36">
        <f t="shared" si="5"/>
        <v>953.7755314643299</v>
      </c>
      <c r="P16" s="35">
        <f t="shared" si="6"/>
        <v>149.93087943798105</v>
      </c>
      <c r="Q16" s="36">
        <f t="shared" si="1"/>
        <v>953.77553146432979</v>
      </c>
    </row>
    <row r="17" spans="2:14" x14ac:dyDescent="0.2">
      <c r="B17" s="40">
        <v>0.1</v>
      </c>
      <c r="C17" s="41" t="s">
        <v>114</v>
      </c>
      <c r="D17" s="42">
        <f>+'[1]NUEVO precio Helado HELACOR'!F41*Estructura!B17</f>
        <v>330.60310606863902</v>
      </c>
      <c r="E17" s="41">
        <v>62.277948717948725</v>
      </c>
      <c r="F17" s="41"/>
      <c r="G17" s="43">
        <v>17.007142857142856</v>
      </c>
      <c r="H17" s="41"/>
      <c r="I17" s="43">
        <v>6.7403999999999993</v>
      </c>
      <c r="J17" s="41"/>
      <c r="K17" s="41"/>
      <c r="L17" s="41"/>
      <c r="M17" s="35">
        <f t="shared" si="3"/>
        <v>86.025491575091579</v>
      </c>
      <c r="N17" s="36">
        <f t="shared" si="5"/>
        <v>416.62859764373064</v>
      </c>
    </row>
    <row r="18" spans="2:14" x14ac:dyDescent="0.2">
      <c r="B18" s="12"/>
      <c r="C18" s="31"/>
      <c r="D18" s="31"/>
      <c r="E18" s="31"/>
      <c r="F18" s="31"/>
      <c r="G18" s="31"/>
    </row>
    <row r="19" spans="2:14" x14ac:dyDescent="0.2">
      <c r="B19" s="12"/>
      <c r="C19" s="44" t="s">
        <v>22</v>
      </c>
      <c r="D19" s="44" t="s">
        <v>99</v>
      </c>
      <c r="E19" s="44" t="s">
        <v>100</v>
      </c>
      <c r="F19" s="44" t="s">
        <v>115</v>
      </c>
      <c r="G19" s="44" t="s">
        <v>107</v>
      </c>
      <c r="H19" s="44" t="s">
        <v>116</v>
      </c>
      <c r="I19" s="44" t="s">
        <v>117</v>
      </c>
      <c r="J19" s="44" t="s">
        <v>9</v>
      </c>
      <c r="K19" s="44" t="s">
        <v>10</v>
      </c>
      <c r="L19" s="1" t="s">
        <v>118</v>
      </c>
    </row>
    <row r="20" spans="2:14" x14ac:dyDescent="0.2">
      <c r="B20" s="12">
        <v>1</v>
      </c>
      <c r="C20" s="1" t="s">
        <v>119</v>
      </c>
      <c r="D20" s="37">
        <f>B20*$D$4</f>
        <v>3349.3527167764532</v>
      </c>
      <c r="E20" s="11">
        <v>362.88099999999997</v>
      </c>
      <c r="F20" s="9">
        <v>84.258499999999998</v>
      </c>
      <c r="G20" s="11"/>
      <c r="H20" s="23">
        <v>102.04285714285714</v>
      </c>
      <c r="I20" s="23">
        <v>17.846396965865992</v>
      </c>
      <c r="J20" s="35">
        <f>SUM(E20:I20)</f>
        <v>567.02875410872321</v>
      </c>
      <c r="K20" s="36">
        <f>SUM(D20:G20)</f>
        <v>3796.492216776453</v>
      </c>
    </row>
    <row r="21" spans="2:14" x14ac:dyDescent="0.2">
      <c r="B21" s="12">
        <v>0.5</v>
      </c>
      <c r="C21" s="1" t="s">
        <v>120</v>
      </c>
      <c r="D21" s="37">
        <f>B21*$D$4</f>
        <v>1674.6763583882266</v>
      </c>
      <c r="E21" s="11">
        <v>248.79599999999999</v>
      </c>
      <c r="F21" s="9">
        <v>84.258499999999998</v>
      </c>
      <c r="G21" s="11"/>
      <c r="H21" s="23">
        <v>51.021428571428572</v>
      </c>
      <c r="I21" s="23"/>
      <c r="J21" s="35">
        <f>SUM(E21:H21)</f>
        <v>384.07592857142856</v>
      </c>
      <c r="K21" s="36">
        <f>SUM(D21:G21)</f>
        <v>2007.7308583882266</v>
      </c>
    </row>
    <row r="22" spans="2:14" x14ac:dyDescent="0.2">
      <c r="B22" s="12">
        <v>0.25</v>
      </c>
      <c r="C22" s="1" t="s">
        <v>121</v>
      </c>
      <c r="D22" s="37">
        <f>B22*$D$4</f>
        <v>837.33817919411331</v>
      </c>
      <c r="E22" s="11">
        <v>175.00464711633035</v>
      </c>
      <c r="F22" s="9">
        <v>84.258499999999998</v>
      </c>
      <c r="G22" s="11"/>
      <c r="H22" s="9">
        <v>23.747542857142854</v>
      </c>
      <c r="I22" s="9"/>
      <c r="J22" s="35">
        <f>SUM(E22:H22)</f>
        <v>283.01068997347318</v>
      </c>
      <c r="K22" s="36">
        <f>SUM(D22:G22)</f>
        <v>1096.6013263104437</v>
      </c>
    </row>
    <row r="24" spans="2:14" x14ac:dyDescent="0.2">
      <c r="D24" s="32"/>
      <c r="E24" s="31"/>
      <c r="F24" s="31"/>
      <c r="G24" s="31"/>
      <c r="H24" s="32"/>
      <c r="I24" s="31"/>
      <c r="J24" s="32"/>
      <c r="N24" s="32"/>
    </row>
    <row r="25" spans="2:14" x14ac:dyDescent="0.2">
      <c r="C25" s="44" t="s">
        <v>26</v>
      </c>
      <c r="D25" s="44" t="s">
        <v>99</v>
      </c>
      <c r="E25" s="44" t="s">
        <v>100</v>
      </c>
      <c r="F25" s="44" t="s">
        <v>101</v>
      </c>
      <c r="G25" s="44" t="s">
        <v>122</v>
      </c>
      <c r="H25" s="44" t="s">
        <v>123</v>
      </c>
      <c r="I25" s="44" t="s">
        <v>104</v>
      </c>
      <c r="J25" s="44" t="s">
        <v>124</v>
      </c>
      <c r="K25" s="44" t="s">
        <v>125</v>
      </c>
      <c r="L25" s="44" t="s">
        <v>126</v>
      </c>
      <c r="M25" s="44" t="s">
        <v>9</v>
      </c>
      <c r="N25" s="44" t="s">
        <v>10</v>
      </c>
    </row>
    <row r="26" spans="2:14" x14ac:dyDescent="0.2">
      <c r="B26" s="12">
        <v>0.16</v>
      </c>
      <c r="C26" s="1" t="s">
        <v>127</v>
      </c>
      <c r="D26" s="37">
        <f t="shared" ref="D26:D35" si="7">B26*$D$4</f>
        <v>535.89643468423253</v>
      </c>
      <c r="E26" s="11">
        <v>135.36687499999999</v>
      </c>
      <c r="F26" s="11">
        <v>0</v>
      </c>
      <c r="G26" s="11">
        <v>83.067000000000007</v>
      </c>
      <c r="H26" s="11">
        <v>0</v>
      </c>
      <c r="I26" s="11">
        <v>6.7403999999999993</v>
      </c>
      <c r="J26" s="11">
        <f>0.15*'[1]Costos Insumos'!$E$47</f>
        <v>176.4</v>
      </c>
      <c r="K26" s="11"/>
      <c r="L26" s="11"/>
      <c r="M26" s="35">
        <f t="shared" ref="M26:M37" si="8">SUM(E26:L26)</f>
        <v>401.574275</v>
      </c>
      <c r="N26" s="36">
        <f t="shared" ref="N26:N35" si="9">SUM(D26:L26)</f>
        <v>937.47070968423259</v>
      </c>
    </row>
    <row r="27" spans="2:14" x14ac:dyDescent="0.2">
      <c r="B27" s="12">
        <v>0.16</v>
      </c>
      <c r="C27" s="1" t="s">
        <v>28</v>
      </c>
      <c r="D27" s="37">
        <f t="shared" si="7"/>
        <v>535.89643468423253</v>
      </c>
      <c r="E27" s="11">
        <v>135.36687499999999</v>
      </c>
      <c r="F27" s="11"/>
      <c r="G27" s="11">
        <v>83.067000000000007</v>
      </c>
      <c r="H27" s="11"/>
      <c r="I27" s="11">
        <v>6.7403999999999993</v>
      </c>
      <c r="J27" s="11">
        <f>0.15*'[1]Costos Insumos'!$E$47</f>
        <v>176.4</v>
      </c>
      <c r="K27" s="11"/>
      <c r="L27" s="11">
        <f>+'[1]Costos Insumos'!E52*0.04</f>
        <v>305.84500000000003</v>
      </c>
      <c r="M27" s="35">
        <f t="shared" si="8"/>
        <v>707.41927499999997</v>
      </c>
      <c r="N27" s="36">
        <f t="shared" si="9"/>
        <v>1243.3157096842326</v>
      </c>
    </row>
    <row r="28" spans="2:14" x14ac:dyDescent="0.2">
      <c r="B28" s="12">
        <v>3.5000000000000003E-2</v>
      </c>
      <c r="C28" s="1" t="s">
        <v>30</v>
      </c>
      <c r="D28" s="37">
        <f>B28*$D$4</f>
        <v>117.22734508717588</v>
      </c>
      <c r="E28" s="11">
        <v>135.36687499999999</v>
      </c>
      <c r="F28" s="11"/>
      <c r="G28" s="11">
        <v>83.067000000000007</v>
      </c>
      <c r="H28" s="11"/>
      <c r="I28" s="11">
        <v>6.7403999999999993</v>
      </c>
      <c r="J28" s="11">
        <f>'[1]Costos Insumos'!E56</f>
        <v>1964.9714285714285</v>
      </c>
      <c r="K28" s="11"/>
      <c r="L28" s="11"/>
      <c r="M28" s="35">
        <f t="shared" si="8"/>
        <v>2190.1457035714284</v>
      </c>
      <c r="N28" s="36">
        <f t="shared" si="9"/>
        <v>2307.3730486586046</v>
      </c>
    </row>
    <row r="29" spans="2:14" x14ac:dyDescent="0.2">
      <c r="B29" s="12">
        <v>0.16</v>
      </c>
      <c r="C29" s="1" t="s">
        <v>29</v>
      </c>
      <c r="D29" s="37">
        <f t="shared" si="7"/>
        <v>535.89643468423253</v>
      </c>
      <c r="E29" s="11">
        <v>135.36687499999999</v>
      </c>
      <c r="F29" s="11">
        <v>0</v>
      </c>
      <c r="G29" s="11">
        <v>83.067000000000007</v>
      </c>
      <c r="H29" s="11">
        <v>0</v>
      </c>
      <c r="I29" s="11">
        <v>6.7403999999999993</v>
      </c>
      <c r="J29" s="11">
        <f>0.15*'[1]Costos Insumos'!$E$47</f>
        <v>176.4</v>
      </c>
      <c r="K29" s="11">
        <f>+'[1]Costos Insumos'!$E$46*0.01</f>
        <v>92.607352941176472</v>
      </c>
      <c r="L29" s="11"/>
      <c r="M29" s="35">
        <f>SUM(E29:L29)</f>
        <v>494.18162794117649</v>
      </c>
      <c r="N29" s="36">
        <f t="shared" si="9"/>
        <v>1030.0780626254091</v>
      </c>
    </row>
    <row r="30" spans="2:14" x14ac:dyDescent="0.2">
      <c r="B30" s="12">
        <v>0.16</v>
      </c>
      <c r="C30" s="1" t="s">
        <v>31</v>
      </c>
      <c r="D30" s="37">
        <f t="shared" si="7"/>
        <v>535.89643468423253</v>
      </c>
      <c r="E30" s="11">
        <v>135.36687499999999</v>
      </c>
      <c r="F30" s="9">
        <v>11.409700000000001</v>
      </c>
      <c r="G30" s="11">
        <v>38.946750000000002</v>
      </c>
      <c r="H30" s="11">
        <v>52.535500000000006</v>
      </c>
      <c r="I30" s="11">
        <v>6.7403999999999993</v>
      </c>
      <c r="J30" s="11">
        <v>0</v>
      </c>
      <c r="K30" s="11">
        <f>+'[1]Costos Insumos'!$E$46*0.003</f>
        <v>27.78220588235294</v>
      </c>
      <c r="L30" s="11">
        <f>+'[1]Costos Insumos'!E45*0.08</f>
        <v>220.47804878048785</v>
      </c>
      <c r="M30" s="35">
        <f t="shared" si="8"/>
        <v>493.25947966284082</v>
      </c>
      <c r="N30" s="36">
        <f t="shared" si="9"/>
        <v>1029.1559143470733</v>
      </c>
    </row>
    <row r="31" spans="2:14" x14ac:dyDescent="0.2">
      <c r="B31" s="45">
        <v>0.125</v>
      </c>
      <c r="C31" s="1" t="s">
        <v>32</v>
      </c>
      <c r="D31" s="37">
        <f t="shared" si="7"/>
        <v>418.66908959705665</v>
      </c>
      <c r="E31" s="11">
        <v>188.1875</v>
      </c>
      <c r="F31" s="9">
        <v>11.409700000000001</v>
      </c>
      <c r="G31" s="11">
        <v>17.007142857142856</v>
      </c>
      <c r="H31" s="11">
        <v>26.267750000000003</v>
      </c>
      <c r="I31" s="11">
        <v>6.7403999999999993</v>
      </c>
      <c r="J31" s="11">
        <v>0</v>
      </c>
      <c r="K31" s="11">
        <f>+'[1]Costos Insumos'!$E$46*0.003</f>
        <v>27.78220588235294</v>
      </c>
      <c r="L31" s="11">
        <f>+'[1]Costos Insumos'!E45*0.06</f>
        <v>165.35853658536587</v>
      </c>
      <c r="M31" s="35">
        <f t="shared" si="8"/>
        <v>442.75323532486163</v>
      </c>
      <c r="N31" s="36">
        <f t="shared" si="9"/>
        <v>861.4223249219184</v>
      </c>
    </row>
    <row r="32" spans="2:14" x14ac:dyDescent="0.2">
      <c r="B32" s="45">
        <v>0.125</v>
      </c>
      <c r="C32" s="1" t="s">
        <v>33</v>
      </c>
      <c r="D32" s="37">
        <f t="shared" si="7"/>
        <v>418.66908959705665</v>
      </c>
      <c r="E32" s="11">
        <v>188.1875</v>
      </c>
      <c r="F32" s="9">
        <v>11.409700000000001</v>
      </c>
      <c r="G32" s="11">
        <v>17.007142857142856</v>
      </c>
      <c r="H32" s="11">
        <v>26.267750000000003</v>
      </c>
      <c r="I32" s="11">
        <v>6.7403999999999993</v>
      </c>
      <c r="J32" s="11">
        <v>0</v>
      </c>
      <c r="K32" s="11">
        <f>+'[1]Costos Insumos'!$E$46*0.003</f>
        <v>27.78220588235294</v>
      </c>
      <c r="L32" s="11">
        <f>+'[1]Costos Insumos'!E42*0.01</f>
        <v>203.27</v>
      </c>
      <c r="M32" s="35">
        <f t="shared" si="8"/>
        <v>480.66469873949575</v>
      </c>
      <c r="N32" s="36">
        <f t="shared" si="9"/>
        <v>899.33378833655252</v>
      </c>
    </row>
    <row r="33" spans="2:14" x14ac:dyDescent="0.2">
      <c r="B33" s="45">
        <v>0.125</v>
      </c>
      <c r="C33" s="1" t="s">
        <v>34</v>
      </c>
      <c r="D33" s="37">
        <f t="shared" si="7"/>
        <v>418.66908959705665</v>
      </c>
      <c r="E33" s="11">
        <v>188.1875</v>
      </c>
      <c r="F33" s="9">
        <v>11.409700000000001</v>
      </c>
      <c r="G33" s="11">
        <v>17.007142857142856</v>
      </c>
      <c r="H33" s="11">
        <v>26.267750000000003</v>
      </c>
      <c r="I33" s="11">
        <v>6.7403999999999993</v>
      </c>
      <c r="J33" s="11">
        <v>0</v>
      </c>
      <c r="K33" s="11">
        <f>+'[1]Costos Insumos'!$E$46*0.003</f>
        <v>27.78220588235294</v>
      </c>
      <c r="L33" s="11">
        <f>+'[1]Costos Insumos'!E41*0.05</f>
        <v>174.74456521739131</v>
      </c>
      <c r="M33" s="35">
        <f t="shared" si="8"/>
        <v>452.13926395688708</v>
      </c>
      <c r="N33" s="36">
        <f t="shared" si="9"/>
        <v>870.80835355394379</v>
      </c>
    </row>
    <row r="34" spans="2:14" x14ac:dyDescent="0.2">
      <c r="B34" s="45">
        <v>0.125</v>
      </c>
      <c r="C34" s="1" t="s">
        <v>35</v>
      </c>
      <c r="D34" s="37">
        <f t="shared" si="7"/>
        <v>418.66908959705665</v>
      </c>
      <c r="E34" s="11">
        <v>188.1875</v>
      </c>
      <c r="F34" s="9">
        <v>11.409700000000001</v>
      </c>
      <c r="G34" s="11">
        <v>17.007142857142856</v>
      </c>
      <c r="H34" s="11">
        <v>26.267750000000003</v>
      </c>
      <c r="I34" s="11">
        <v>6.7403999999999993</v>
      </c>
      <c r="J34" s="11">
        <v>0</v>
      </c>
      <c r="K34" s="11">
        <f>+'[1]Costos Insumos'!$E$46*0.003</f>
        <v>27.78220588235294</v>
      </c>
      <c r="L34" s="11">
        <f>+'[1]Costos Insumos'!E43*0.01</f>
        <v>126.69</v>
      </c>
      <c r="M34" s="35">
        <f t="shared" si="8"/>
        <v>404.08469873949576</v>
      </c>
      <c r="N34" s="36">
        <f t="shared" si="9"/>
        <v>822.75378833655259</v>
      </c>
    </row>
    <row r="35" spans="2:14" x14ac:dyDescent="0.2">
      <c r="B35" s="45">
        <v>0.08</v>
      </c>
      <c r="C35" s="20" t="s">
        <v>36</v>
      </c>
      <c r="D35" s="37">
        <f t="shared" si="7"/>
        <v>267.94821734211627</v>
      </c>
      <c r="E35" s="11">
        <v>91.229166666666671</v>
      </c>
      <c r="F35" s="9">
        <v>11.409700000000001</v>
      </c>
      <c r="G35" s="9">
        <v>17.007142857142856</v>
      </c>
      <c r="H35" s="11">
        <v>16.977303247504867</v>
      </c>
      <c r="I35" s="11">
        <v>6.7403999999999993</v>
      </c>
      <c r="J35" s="11"/>
      <c r="K35" s="11"/>
      <c r="L35" s="11">
        <f>+'[1]Costos Insumos'!$E$59</f>
        <v>1096.42</v>
      </c>
      <c r="M35" s="35">
        <f t="shared" si="8"/>
        <v>1239.7837127713144</v>
      </c>
      <c r="N35" s="36">
        <f t="shared" si="9"/>
        <v>1507.7319301134307</v>
      </c>
    </row>
    <row r="36" spans="2:14" x14ac:dyDescent="0.2">
      <c r="B36" s="7">
        <v>0.16</v>
      </c>
      <c r="C36" s="1" t="s">
        <v>128</v>
      </c>
      <c r="D36" s="37">
        <f>B36*$D$4</f>
        <v>535.89643468423253</v>
      </c>
      <c r="E36" s="11">
        <v>153.34062499999999</v>
      </c>
      <c r="F36" s="9"/>
      <c r="G36" s="11">
        <v>38.946750000000002</v>
      </c>
      <c r="H36" s="11">
        <v>52.535500000000006</v>
      </c>
      <c r="I36" s="11">
        <v>6.7403999999999993</v>
      </c>
      <c r="J36" s="11">
        <v>0</v>
      </c>
      <c r="K36" s="11">
        <v>0</v>
      </c>
      <c r="L36" s="11">
        <f>'[1]Costos Insumos'!E55</f>
        <v>531.42617092499984</v>
      </c>
      <c r="M36" s="35">
        <f t="shared" si="8"/>
        <v>782.98944592499981</v>
      </c>
      <c r="N36" s="36">
        <f>SUM(D36:L36)</f>
        <v>1318.8858806092321</v>
      </c>
    </row>
    <row r="37" spans="2:14" x14ac:dyDescent="0.2">
      <c r="B37" s="7">
        <v>0.16</v>
      </c>
      <c r="C37" s="20" t="s">
        <v>37</v>
      </c>
      <c r="D37" s="11">
        <f>B37*$D$4</f>
        <v>535.89643468423253</v>
      </c>
      <c r="E37" s="23">
        <v>91.229166666666671</v>
      </c>
      <c r="F37" s="9">
        <v>11.409700000000001</v>
      </c>
      <c r="G37" s="9">
        <v>17.007142857142856</v>
      </c>
      <c r="H37" s="23">
        <v>16.977303247504867</v>
      </c>
      <c r="I37" s="11">
        <v>6.7403999999999993</v>
      </c>
      <c r="L37" s="11">
        <f>+'[1]Costos Insumos'!$E$59</f>
        <v>1096.42</v>
      </c>
      <c r="M37" s="35">
        <f t="shared" si="8"/>
        <v>1239.7837127713144</v>
      </c>
      <c r="N37" s="36">
        <f>SUM(D37:L37)</f>
        <v>1775.6801474555471</v>
      </c>
    </row>
    <row r="38" spans="2:14" x14ac:dyDescent="0.2">
      <c r="B38" s="45">
        <v>0.125</v>
      </c>
      <c r="C38" s="1" t="s">
        <v>39</v>
      </c>
      <c r="D38" s="37">
        <f>+B38*'[1]NUEVO precio Helado HELACOR'!F40</f>
        <v>219.11549183280977</v>
      </c>
      <c r="E38" s="23">
        <v>127.07333333333332</v>
      </c>
      <c r="F38" s="9"/>
      <c r="G38" s="9">
        <v>17.007142857142856</v>
      </c>
      <c r="H38" s="23">
        <v>164.57746478873241</v>
      </c>
      <c r="I38" s="11">
        <v>6.7403999999999993</v>
      </c>
      <c r="L38" s="11"/>
      <c r="M38" s="35">
        <f>SUM(E38:L38)</f>
        <v>315.39834097920863</v>
      </c>
      <c r="N38" s="36">
        <f>SUM(D38:L38)</f>
        <v>534.51383281201845</v>
      </c>
    </row>
    <row r="39" spans="2:14" x14ac:dyDescent="0.2">
      <c r="D39" s="11"/>
      <c r="E39" s="31"/>
    </row>
    <row r="40" spans="2:14" x14ac:dyDescent="0.2">
      <c r="C40" s="44" t="s">
        <v>46</v>
      </c>
      <c r="D40" s="46" t="s">
        <v>99</v>
      </c>
      <c r="E40" s="44" t="s">
        <v>129</v>
      </c>
      <c r="F40" s="44" t="s">
        <v>10</v>
      </c>
      <c r="G40" s="1" t="s">
        <v>118</v>
      </c>
    </row>
    <row r="41" spans="2:14" x14ac:dyDescent="0.2">
      <c r="C41" s="1" t="s">
        <v>130</v>
      </c>
      <c r="D41" s="37">
        <f>'[1]NUEVO precio Helado HELACOR'!E10</f>
        <v>3848.1091199999996</v>
      </c>
      <c r="E41" s="9">
        <v>84.258499999999998</v>
      </c>
      <c r="F41" s="47">
        <f t="shared" ref="F41:F48" si="10">SUM(D41:E41)</f>
        <v>3932.3676199999995</v>
      </c>
    </row>
    <row r="42" spans="2:14" x14ac:dyDescent="0.2">
      <c r="C42" s="1" t="s">
        <v>131</v>
      </c>
      <c r="D42" s="37">
        <f>'[1]NUEVO precio Helado HELACOR'!F10</f>
        <v>481.01363999999995</v>
      </c>
      <c r="E42" s="9">
        <v>6.7403999999999993</v>
      </c>
      <c r="F42" s="47">
        <f t="shared" si="10"/>
        <v>487.75403999999997</v>
      </c>
    </row>
    <row r="43" spans="2:14" x14ac:dyDescent="0.2">
      <c r="C43" s="1" t="s">
        <v>132</v>
      </c>
      <c r="D43" s="37">
        <f>'[1]NUEVO precio Helado HELACOR'!E9</f>
        <v>4553.254498749885</v>
      </c>
      <c r="E43" s="9">
        <v>84.258499999999998</v>
      </c>
      <c r="F43" s="47">
        <f t="shared" si="10"/>
        <v>4637.5129987498849</v>
      </c>
    </row>
    <row r="44" spans="2:14" x14ac:dyDescent="0.2">
      <c r="C44" s="1" t="s">
        <v>133</v>
      </c>
      <c r="D44" s="37">
        <f>'[1]NUEVO precio Helado HELACOR'!F9</f>
        <v>569.15681234373562</v>
      </c>
      <c r="E44" s="9">
        <v>6.7403999999999993</v>
      </c>
      <c r="F44" s="47">
        <f t="shared" si="10"/>
        <v>575.89721234373565</v>
      </c>
    </row>
    <row r="45" spans="2:14" x14ac:dyDescent="0.2">
      <c r="C45" s="1" t="s">
        <v>134</v>
      </c>
      <c r="D45" s="37">
        <f>'[1]NUEVO precio Helado HELACOR'!E8</f>
        <v>4060.0438918347645</v>
      </c>
      <c r="E45" s="9">
        <v>84.258499999999998</v>
      </c>
      <c r="F45" s="47">
        <f t="shared" si="10"/>
        <v>4144.3023918347644</v>
      </c>
    </row>
    <row r="46" spans="2:14" x14ac:dyDescent="0.2">
      <c r="C46" s="1" t="s">
        <v>135</v>
      </c>
      <c r="D46" s="37">
        <f>'[1]NUEVO precio Helado HELACOR'!F8</f>
        <v>507.50548647934556</v>
      </c>
      <c r="E46" s="9">
        <v>6.7403999999999993</v>
      </c>
      <c r="F46" s="47">
        <f t="shared" si="10"/>
        <v>514.24588647934559</v>
      </c>
    </row>
    <row r="47" spans="2:14" x14ac:dyDescent="0.2">
      <c r="C47" s="1" t="s">
        <v>136</v>
      </c>
      <c r="D47" s="37">
        <f>'[1]NUEVO precio Helado HELACOR'!E11</f>
        <v>3848.1091199999996</v>
      </c>
      <c r="E47" s="9">
        <v>84.258499999999998</v>
      </c>
      <c r="F47" s="47">
        <f t="shared" si="10"/>
        <v>3932.3676199999995</v>
      </c>
    </row>
    <row r="48" spans="2:14" x14ac:dyDescent="0.2">
      <c r="C48" s="1" t="s">
        <v>137</v>
      </c>
      <c r="D48" s="37">
        <f>'[1]NUEVO precio Helado HELACOR'!F11</f>
        <v>481.01363999999995</v>
      </c>
      <c r="E48" s="9">
        <v>6.7403999999999993</v>
      </c>
      <c r="F48" s="47">
        <f t="shared" si="10"/>
        <v>487.75403999999997</v>
      </c>
    </row>
    <row r="49" spans="3:8" ht="15" x14ac:dyDescent="0.25">
      <c r="C49" s="13" t="s">
        <v>55</v>
      </c>
      <c r="D49" s="37">
        <f>+'[1]NUEVO precio Helado HELACOR'!E13</f>
        <v>4229.2123873278797</v>
      </c>
      <c r="E49" s="9">
        <v>84.258499999999998</v>
      </c>
      <c r="F49" s="47"/>
    </row>
    <row r="50" spans="3:8" ht="15" x14ac:dyDescent="0.25">
      <c r="C50" s="13" t="s">
        <v>56</v>
      </c>
      <c r="D50" s="37">
        <f>+'[1]NUEVO precio Helado HELACOR'!F13</f>
        <v>528.65154841598496</v>
      </c>
      <c r="E50" s="9"/>
      <c r="F50" s="47"/>
    </row>
    <row r="51" spans="3:8" ht="15" x14ac:dyDescent="0.25">
      <c r="C51" s="13" t="s">
        <v>138</v>
      </c>
      <c r="D51" s="37">
        <f>+'[1]NUEVO precio Helado HELACOR'!E12</f>
        <v>4607.1360877876714</v>
      </c>
      <c r="E51" s="9">
        <v>84.258499999999998</v>
      </c>
      <c r="F51" s="47"/>
    </row>
    <row r="52" spans="3:8" ht="15" x14ac:dyDescent="0.25">
      <c r="C52" s="13" t="s">
        <v>139</v>
      </c>
      <c r="D52" s="37">
        <f>+'[1]NUEVO precio Helado HELACOR'!F12</f>
        <v>767.85601463127853</v>
      </c>
      <c r="E52" s="9">
        <v>6.7403999999999993</v>
      </c>
      <c r="F52" s="47"/>
    </row>
    <row r="53" spans="3:8" x14ac:dyDescent="0.2">
      <c r="D53" s="11"/>
      <c r="E53" s="11"/>
      <c r="F53" s="11"/>
    </row>
    <row r="54" spans="3:8" x14ac:dyDescent="0.2">
      <c r="C54" s="44" t="s">
        <v>59</v>
      </c>
      <c r="D54" s="46" t="s">
        <v>99</v>
      </c>
      <c r="E54" s="44" t="s">
        <v>129</v>
      </c>
      <c r="F54" s="44" t="s">
        <v>10</v>
      </c>
      <c r="G54" s="1" t="s">
        <v>118</v>
      </c>
    </row>
    <row r="55" spans="3:8" x14ac:dyDescent="0.2">
      <c r="C55" s="1" t="s">
        <v>60</v>
      </c>
      <c r="D55" s="37">
        <f>'[1]NUEVO precio Helado HELACOR'!E20</f>
        <v>2648.6542999999997</v>
      </c>
      <c r="E55" s="9">
        <v>84.258499999999998</v>
      </c>
      <c r="F55" s="47">
        <f t="shared" ref="F55:F63" si="11">SUM(D55:E55)</f>
        <v>2732.9127999999996</v>
      </c>
    </row>
    <row r="56" spans="3:8" x14ac:dyDescent="0.2">
      <c r="C56" s="1" t="s">
        <v>61</v>
      </c>
      <c r="D56" s="37">
        <f>'[1]NUEVO precio Helado HELACOR'!E21</f>
        <v>1324.3271499999998</v>
      </c>
      <c r="E56" s="9">
        <v>84.258499999999998</v>
      </c>
      <c r="F56" s="47">
        <f t="shared" si="11"/>
        <v>1408.5856499999998</v>
      </c>
    </row>
    <row r="57" spans="3:8" x14ac:dyDescent="0.2">
      <c r="C57" s="1" t="s">
        <v>62</v>
      </c>
      <c r="D57" s="37">
        <f>'[1]NUEVO precio Helado HELACOR'!F20</f>
        <v>132.43271499999997</v>
      </c>
      <c r="E57" s="9"/>
      <c r="F57" s="47">
        <f t="shared" si="11"/>
        <v>132.43271499999997</v>
      </c>
    </row>
    <row r="58" spans="3:8" x14ac:dyDescent="0.2">
      <c r="C58" s="1" t="s">
        <v>63</v>
      </c>
      <c r="D58" s="37">
        <f>'[1]NUEVO precio Helado HELACOR'!E18</f>
        <v>3765.0880999999999</v>
      </c>
      <c r="E58" s="9">
        <v>84.258499999999998</v>
      </c>
      <c r="F58" s="47">
        <f t="shared" si="11"/>
        <v>3849.3465999999999</v>
      </c>
    </row>
    <row r="59" spans="3:8" x14ac:dyDescent="0.2">
      <c r="C59" s="1" t="s">
        <v>64</v>
      </c>
      <c r="D59" s="37">
        <f>'[1]NUEVO precio Helado HELACOR'!E19</f>
        <v>1882.54405</v>
      </c>
      <c r="E59" s="9">
        <v>84.258499999999998</v>
      </c>
      <c r="F59" s="47">
        <f t="shared" si="11"/>
        <v>1966.8025499999999</v>
      </c>
    </row>
    <row r="60" spans="3:8" x14ac:dyDescent="0.2">
      <c r="C60" s="1" t="s">
        <v>65</v>
      </c>
      <c r="D60" s="37">
        <f>'[1]NUEVO precio Helado HELACOR'!F18</f>
        <v>188.25440499999999</v>
      </c>
      <c r="E60" s="9"/>
      <c r="F60" s="47">
        <f t="shared" si="11"/>
        <v>188.25440499999999</v>
      </c>
    </row>
    <row r="61" spans="3:8" x14ac:dyDescent="0.2">
      <c r="C61" s="1" t="s">
        <v>66</v>
      </c>
      <c r="D61" s="37">
        <f>'[1]NUEVO precio Helado HELACOR'!E16</f>
        <v>6418.4</v>
      </c>
      <c r="E61" s="9">
        <v>84.258499999999998</v>
      </c>
      <c r="F61" s="47">
        <f t="shared" si="11"/>
        <v>6502.6584999999995</v>
      </c>
      <c r="H61" s="9"/>
    </row>
    <row r="62" spans="3:8" x14ac:dyDescent="0.2">
      <c r="C62" s="1" t="s">
        <v>67</v>
      </c>
      <c r="D62" s="37">
        <f>'[1]NUEVO precio Helado HELACOR'!E17</f>
        <v>3209.2</v>
      </c>
      <c r="E62" s="9">
        <v>84.258499999999998</v>
      </c>
      <c r="F62" s="47">
        <f t="shared" si="11"/>
        <v>3293.4584999999997</v>
      </c>
      <c r="H62" s="9"/>
    </row>
    <row r="63" spans="3:8" x14ac:dyDescent="0.2">
      <c r="C63" s="1" t="s">
        <v>68</v>
      </c>
      <c r="D63" s="37">
        <f>'[1]NUEVO precio Helado HELACOR'!F16</f>
        <v>320.91999999999996</v>
      </c>
      <c r="E63" s="9"/>
      <c r="F63" s="47">
        <f t="shared" si="11"/>
        <v>320.91999999999996</v>
      </c>
    </row>
    <row r="64" spans="3:8" x14ac:dyDescent="0.2">
      <c r="D64" s="11"/>
      <c r="E64" s="11"/>
    </row>
    <row r="65" spans="3:7" x14ac:dyDescent="0.2">
      <c r="E65" s="31"/>
    </row>
    <row r="66" spans="3:7" x14ac:dyDescent="0.2">
      <c r="C66" s="44" t="s">
        <v>70</v>
      </c>
      <c r="D66" s="44" t="s">
        <v>99</v>
      </c>
      <c r="E66" s="44" t="s">
        <v>129</v>
      </c>
      <c r="F66" s="44" t="s">
        <v>10</v>
      </c>
      <c r="G66" s="1" t="s">
        <v>118</v>
      </c>
    </row>
    <row r="67" spans="3:7" x14ac:dyDescent="0.2">
      <c r="C67" s="1" t="s">
        <v>140</v>
      </c>
      <c r="D67" s="37">
        <f>'[1]NUEVO precio Helado HELACOR'!E29</f>
        <v>2736.9348585523499</v>
      </c>
      <c r="E67" s="9">
        <v>84.258499999999998</v>
      </c>
      <c r="F67" s="47">
        <f>SUM(D67:E67)</f>
        <v>2821.1933585523498</v>
      </c>
    </row>
    <row r="68" spans="3:7" x14ac:dyDescent="0.2">
      <c r="C68" s="1" t="s">
        <v>141</v>
      </c>
      <c r="D68" s="37">
        <f>'[1]NUEVO precio Helado HELACOR'!F29</f>
        <v>342.11685731904373</v>
      </c>
      <c r="E68" s="9">
        <v>6.7403999999999993</v>
      </c>
      <c r="F68" s="47">
        <f t="shared" ref="F68:F81" si="12">SUM(D68:E68)</f>
        <v>348.85725731904375</v>
      </c>
    </row>
    <row r="69" spans="3:7" x14ac:dyDescent="0.2">
      <c r="C69" s="1" t="s">
        <v>142</v>
      </c>
      <c r="D69" s="37">
        <f>'[1]NUEVO precio Helado HELACOR'!E30</f>
        <v>2424.0051251180766</v>
      </c>
      <c r="E69" s="9">
        <v>84.258499999999998</v>
      </c>
      <c r="F69" s="47">
        <f t="shared" si="12"/>
        <v>2508.2636251180766</v>
      </c>
    </row>
    <row r="70" spans="3:7" x14ac:dyDescent="0.2">
      <c r="C70" s="1" t="s">
        <v>143</v>
      </c>
      <c r="D70" s="37">
        <f>'[1]NUEVO precio Helado HELACOR'!F30</f>
        <v>303.00064063975958</v>
      </c>
      <c r="E70" s="9">
        <v>6.7403999999999993</v>
      </c>
      <c r="F70" s="47">
        <f t="shared" si="12"/>
        <v>309.7410406397596</v>
      </c>
    </row>
    <row r="71" spans="3:7" x14ac:dyDescent="0.2">
      <c r="C71" s="1" t="s">
        <v>75</v>
      </c>
      <c r="D71" s="37">
        <f>'[1]NUEVO precio Helado HELACOR'!E31</f>
        <v>3205.6921898484861</v>
      </c>
      <c r="E71" s="9">
        <v>84.258499999999998</v>
      </c>
      <c r="F71" s="47">
        <f t="shared" si="12"/>
        <v>3289.950689848486</v>
      </c>
    </row>
    <row r="72" spans="3:7" x14ac:dyDescent="0.2">
      <c r="C72" s="1" t="s">
        <v>144</v>
      </c>
      <c r="D72" s="37">
        <f>'[1]NUEVO precio Helado HELACOR'!E32</f>
        <v>3205.6921898484861</v>
      </c>
      <c r="E72" s="9">
        <v>84.258499999999998</v>
      </c>
      <c r="F72" s="47">
        <f t="shared" si="12"/>
        <v>3289.950689848486</v>
      </c>
    </row>
    <row r="73" spans="3:7" x14ac:dyDescent="0.2">
      <c r="C73" s="1" t="s">
        <v>145</v>
      </c>
      <c r="D73" s="37">
        <f>'[1]NUEVO precio Helado HELACOR'!E33</f>
        <v>5201.2452331993973</v>
      </c>
      <c r="E73" s="9">
        <v>84.258499999999998</v>
      </c>
      <c r="F73" s="47">
        <f t="shared" si="12"/>
        <v>5285.5037331993972</v>
      </c>
    </row>
    <row r="74" spans="3:7" x14ac:dyDescent="0.2">
      <c r="C74" s="1" t="s">
        <v>146</v>
      </c>
      <c r="D74" s="37">
        <f>'[1]NUEVO precio Helado HELACOR'!E34</f>
        <v>5201.2452331993973</v>
      </c>
      <c r="E74" s="9">
        <v>84.258499999999998</v>
      </c>
      <c r="F74" s="47">
        <f t="shared" si="12"/>
        <v>5285.5037331993972</v>
      </c>
    </row>
    <row r="75" spans="3:7" x14ac:dyDescent="0.2">
      <c r="C75" s="1" t="s">
        <v>147</v>
      </c>
      <c r="D75" s="37">
        <f>'[1]NUEVO precio Helado HELACOR'!E34</f>
        <v>5201.2452331993973</v>
      </c>
      <c r="E75" s="9">
        <v>84.258499999999998</v>
      </c>
      <c r="F75" s="47">
        <f t="shared" si="12"/>
        <v>5285.5037331993972</v>
      </c>
    </row>
    <row r="76" spans="3:7" x14ac:dyDescent="0.2">
      <c r="C76" s="1" t="s">
        <v>148</v>
      </c>
      <c r="D76" s="37">
        <f>+'[1]NUEVO precio Helado HELACOR'!E36</f>
        <v>8399.380944026103</v>
      </c>
      <c r="E76" s="9">
        <v>84.258499999999998</v>
      </c>
      <c r="F76" s="47">
        <f t="shared" si="12"/>
        <v>8483.6394440261029</v>
      </c>
    </row>
    <row r="77" spans="3:7" x14ac:dyDescent="0.2">
      <c r="C77" s="1" t="s">
        <v>149</v>
      </c>
      <c r="D77" s="37">
        <f>+'[1]NUEVO precio Helado HELACOR'!F36</f>
        <v>699.94841200217525</v>
      </c>
      <c r="E77" s="9">
        <v>23.747542857142854</v>
      </c>
      <c r="F77" s="47">
        <f t="shared" si="12"/>
        <v>723.69595485931814</v>
      </c>
    </row>
    <row r="78" spans="3:7" x14ac:dyDescent="0.2">
      <c r="C78" s="1" t="s">
        <v>150</v>
      </c>
      <c r="D78" s="37">
        <f>+'[1]NUEVO precio Helado HELACOR'!E37</f>
        <v>8399.380944026103</v>
      </c>
      <c r="E78" s="9">
        <v>84.258499999999998</v>
      </c>
      <c r="F78" s="47">
        <f t="shared" si="12"/>
        <v>8483.6394440261029</v>
      </c>
    </row>
    <row r="79" spans="3:7" x14ac:dyDescent="0.2">
      <c r="C79" s="1" t="s">
        <v>151</v>
      </c>
      <c r="D79" s="37">
        <f>+'[1]NUEVO precio Helado HELACOR'!F37</f>
        <v>699.94841200217525</v>
      </c>
      <c r="E79" s="9">
        <v>23.747542857142854</v>
      </c>
      <c r="F79" s="47">
        <f t="shared" si="12"/>
        <v>723.69595485931814</v>
      </c>
    </row>
    <row r="80" spans="3:7" ht="15.75" x14ac:dyDescent="0.2">
      <c r="C80" s="48" t="s">
        <v>44</v>
      </c>
      <c r="D80" s="37">
        <f>+'[1]NUEVO precio Helado HELACOR'!E38</f>
        <v>8399.380944026103</v>
      </c>
      <c r="E80" s="9">
        <v>84.258499999999998</v>
      </c>
      <c r="F80" s="47">
        <f t="shared" si="12"/>
        <v>8483.6394440261029</v>
      </c>
    </row>
    <row r="81" spans="3:9" ht="15.75" x14ac:dyDescent="0.2">
      <c r="C81" s="48" t="s">
        <v>45</v>
      </c>
      <c r="D81" s="37">
        <f>+'[1]NUEVO precio Helado HELACOR'!F38</f>
        <v>699.94841200217525</v>
      </c>
      <c r="E81" s="9">
        <v>23.747542857142854</v>
      </c>
      <c r="F81" s="47">
        <f t="shared" si="12"/>
        <v>723.69595485931814</v>
      </c>
    </row>
    <row r="82" spans="3:9" x14ac:dyDescent="0.2">
      <c r="C82" s="44" t="s">
        <v>80</v>
      </c>
      <c r="D82" s="44" t="s">
        <v>99</v>
      </c>
      <c r="E82" s="44" t="s">
        <v>115</v>
      </c>
      <c r="F82" s="44" t="s">
        <v>107</v>
      </c>
      <c r="G82" s="44" t="s">
        <v>152</v>
      </c>
      <c r="H82" s="44" t="s">
        <v>9</v>
      </c>
      <c r="I82" s="44" t="s">
        <v>10</v>
      </c>
    </row>
    <row r="83" spans="3:9" x14ac:dyDescent="0.2">
      <c r="C83" s="1" t="s">
        <v>153</v>
      </c>
      <c r="D83" s="37">
        <f>'[1]NUEVO precio Helado HELACOR'!$E$24</f>
        <v>5796.0750785014961</v>
      </c>
      <c r="E83" s="9">
        <v>84.258499999999998</v>
      </c>
      <c r="F83" s="9"/>
      <c r="G83" s="11">
        <f>'[1]Costos Insumos'!E13*0</f>
        <v>0</v>
      </c>
      <c r="H83" s="35">
        <f>SUM(E83:G83)</f>
        <v>84.258499999999998</v>
      </c>
      <c r="I83" s="36">
        <f>SUM(D83:G83)</f>
        <v>5880.333578501496</v>
      </c>
    </row>
    <row r="84" spans="3:9" x14ac:dyDescent="0.2">
      <c r="C84" s="1" t="s">
        <v>154</v>
      </c>
      <c r="D84" s="37">
        <f>'[1]NUEVO precio Helado HELACOR'!E25</f>
        <v>2498.9324652492132</v>
      </c>
      <c r="E84" s="9">
        <v>84.258499999999998</v>
      </c>
      <c r="F84" s="9"/>
      <c r="H84" s="35">
        <f>SUM(E84:F84)</f>
        <v>84.258499999999998</v>
      </c>
      <c r="I84" s="36">
        <f>SUM(D84:G84)</f>
        <v>2583.1909652492131</v>
      </c>
    </row>
    <row r="85" spans="3:9" x14ac:dyDescent="0.2">
      <c r="C85" s="1" t="s">
        <v>155</v>
      </c>
      <c r="D85" s="37">
        <f>'[1]NUEVO precio Helado HELACOR'!E26</f>
        <v>0</v>
      </c>
      <c r="E85" s="9">
        <v>84.258499999999998</v>
      </c>
      <c r="F85" s="9"/>
      <c r="H85" s="35">
        <f>SUM(E85:F85)</f>
        <v>84.258499999999998</v>
      </c>
      <c r="I85" s="36">
        <f>SUM(D85:G85)</f>
        <v>84.258499999999998</v>
      </c>
    </row>
    <row r="86" spans="3:9" x14ac:dyDescent="0.2">
      <c r="E86" s="31"/>
      <c r="F86" s="9"/>
    </row>
    <row r="87" spans="3:9" x14ac:dyDescent="0.2">
      <c r="C87" s="44" t="s">
        <v>156</v>
      </c>
      <c r="D87" s="44" t="s">
        <v>157</v>
      </c>
      <c r="E87" s="44" t="s">
        <v>10</v>
      </c>
    </row>
    <row r="88" spans="3:9" x14ac:dyDescent="0.2">
      <c r="C88" s="1" t="s">
        <v>158</v>
      </c>
      <c r="D88" s="11">
        <v>16494.3</v>
      </c>
      <c r="E88" s="36">
        <f>D88</f>
        <v>16494.3</v>
      </c>
    </row>
    <row r="89" spans="3:9" x14ac:dyDescent="0.2">
      <c r="C89" s="1" t="s">
        <v>159</v>
      </c>
      <c r="D89" s="11">
        <v>338.0675</v>
      </c>
      <c r="E89" s="36">
        <f>D89</f>
        <v>338.0675</v>
      </c>
    </row>
    <row r="90" spans="3:9" x14ac:dyDescent="0.2">
      <c r="C90" s="1" t="s">
        <v>152</v>
      </c>
      <c r="D90" s="11">
        <v>338.0675</v>
      </c>
      <c r="E90" s="36">
        <f>D90</f>
        <v>338.0675</v>
      </c>
    </row>
    <row r="91" spans="3:9" x14ac:dyDescent="0.2">
      <c r="G91" s="31"/>
    </row>
    <row r="92" spans="3:9" x14ac:dyDescent="0.2">
      <c r="C92" s="44" t="s">
        <v>160</v>
      </c>
      <c r="D92" s="44" t="s">
        <v>99</v>
      </c>
      <c r="E92" s="44" t="s">
        <v>100</v>
      </c>
      <c r="F92" s="44" t="s">
        <v>161</v>
      </c>
      <c r="G92" s="49" t="s">
        <v>9</v>
      </c>
      <c r="H92" s="44" t="s">
        <v>10</v>
      </c>
    </row>
    <row r="93" spans="3:9" x14ac:dyDescent="0.2">
      <c r="C93" s="1" t="s">
        <v>83</v>
      </c>
      <c r="D93" s="37">
        <f>D84*2</f>
        <v>4997.8649304984265</v>
      </c>
      <c r="E93" s="11">
        <v>0</v>
      </c>
      <c r="F93" s="9">
        <v>84.258499999999998</v>
      </c>
      <c r="G93" s="35">
        <f>SUM(E93:F93)</f>
        <v>84.258499999999998</v>
      </c>
      <c r="H93" s="36">
        <f>SUM(D93:F93)</f>
        <v>5082.1234304984264</v>
      </c>
    </row>
    <row r="94" spans="3:9" x14ac:dyDescent="0.2">
      <c r="C94" s="1" t="s">
        <v>162</v>
      </c>
      <c r="D94" s="37">
        <f>+D12</f>
        <v>267.94821734211627</v>
      </c>
      <c r="E94" s="11">
        <v>62.277948717948725</v>
      </c>
      <c r="F94" s="9">
        <v>17.007142857142856</v>
      </c>
      <c r="G94" s="35">
        <f>SUM(E94:F94)</f>
        <v>79.285091575091585</v>
      </c>
      <c r="H94" s="36">
        <f>SUM(D94:F94)</f>
        <v>347.23330891720786</v>
      </c>
    </row>
    <row r="95" spans="3:9" x14ac:dyDescent="0.2">
      <c r="D95" s="50"/>
      <c r="E95" s="11"/>
      <c r="F95" s="9"/>
      <c r="G95" s="51"/>
      <c r="H95" s="9"/>
    </row>
    <row r="97" spans="2:12" x14ac:dyDescent="0.2">
      <c r="C97" s="44" t="s">
        <v>84</v>
      </c>
      <c r="D97" s="44" t="s">
        <v>99</v>
      </c>
      <c r="E97" s="44" t="s">
        <v>163</v>
      </c>
      <c r="F97" s="44" t="s">
        <v>100</v>
      </c>
      <c r="G97" s="44" t="s">
        <v>115</v>
      </c>
      <c r="H97" s="44" t="s">
        <v>107</v>
      </c>
      <c r="I97" s="44" t="s">
        <v>9</v>
      </c>
      <c r="J97" s="44" t="s">
        <v>10</v>
      </c>
      <c r="K97" s="52"/>
      <c r="L97" s="52"/>
    </row>
    <row r="98" spans="2:12" x14ac:dyDescent="0.2">
      <c r="B98" s="7">
        <v>1</v>
      </c>
      <c r="C98" t="s">
        <v>85</v>
      </c>
      <c r="D98" s="37">
        <v>0</v>
      </c>
      <c r="E98" s="53">
        <v>3437.1560000000004</v>
      </c>
      <c r="F98" s="11"/>
      <c r="G98" s="9">
        <v>87.0274</v>
      </c>
      <c r="H98" s="11">
        <v>0</v>
      </c>
      <c r="I98" s="35">
        <f t="shared" ref="I98:I106" si="13">SUM(F98:H98)</f>
        <v>87.0274</v>
      </c>
      <c r="J98" s="36">
        <f t="shared" ref="J98:J106" si="14">SUM(D98:H98)</f>
        <v>3524.1834000000003</v>
      </c>
      <c r="K98" s="11"/>
      <c r="L98" s="11"/>
    </row>
    <row r="99" spans="2:12" x14ac:dyDescent="0.2">
      <c r="C99" t="s">
        <v>86</v>
      </c>
      <c r="D99" s="37">
        <v>0</v>
      </c>
      <c r="E99" s="53">
        <v>3494.4439999999995</v>
      </c>
      <c r="F99" s="11"/>
      <c r="G99" s="9">
        <v>87.0274</v>
      </c>
      <c r="H99" s="11"/>
      <c r="I99" s="35">
        <f t="shared" si="13"/>
        <v>87.0274</v>
      </c>
      <c r="J99" s="36">
        <f t="shared" si="14"/>
        <v>3581.4713999999994</v>
      </c>
      <c r="K99" s="11"/>
      <c r="L99" s="11"/>
    </row>
    <row r="100" spans="2:12" x14ac:dyDescent="0.2">
      <c r="C100" t="s">
        <v>87</v>
      </c>
      <c r="D100" s="37">
        <v>0</v>
      </c>
      <c r="E100" s="53">
        <v>3405.6600000000003</v>
      </c>
      <c r="F100" s="11"/>
      <c r="G100" s="9">
        <v>87.0274</v>
      </c>
      <c r="H100" s="11"/>
      <c r="I100" s="35">
        <f t="shared" si="13"/>
        <v>87.0274</v>
      </c>
      <c r="J100" s="36">
        <f t="shared" si="14"/>
        <v>3492.6874000000003</v>
      </c>
      <c r="K100" s="11"/>
      <c r="L100" s="11"/>
    </row>
    <row r="101" spans="2:12" x14ac:dyDescent="0.2">
      <c r="C101" t="s">
        <v>88</v>
      </c>
      <c r="D101" s="37">
        <v>0</v>
      </c>
      <c r="E101" s="53">
        <v>3777.9079999999999</v>
      </c>
      <c r="F101" s="11"/>
      <c r="G101" s="9">
        <v>87.0274</v>
      </c>
      <c r="H101" s="11"/>
      <c r="I101" s="35">
        <f t="shared" si="13"/>
        <v>87.0274</v>
      </c>
      <c r="J101" s="36">
        <f t="shared" si="14"/>
        <v>3864.9353999999998</v>
      </c>
      <c r="K101" s="11"/>
      <c r="L101" s="11"/>
    </row>
    <row r="102" spans="2:12" x14ac:dyDescent="0.2">
      <c r="C102" t="s">
        <v>164</v>
      </c>
      <c r="D102" s="37">
        <v>0</v>
      </c>
      <c r="E102" s="53">
        <v>5186.5479999999998</v>
      </c>
      <c r="F102" s="11"/>
      <c r="G102" s="9">
        <v>87.0274</v>
      </c>
      <c r="H102" s="11"/>
      <c r="I102" s="35">
        <f t="shared" si="13"/>
        <v>87.0274</v>
      </c>
      <c r="J102" s="36">
        <f t="shared" si="14"/>
        <v>5273.5753999999997</v>
      </c>
      <c r="K102" s="11"/>
      <c r="L102" s="11"/>
    </row>
    <row r="103" spans="2:12" x14ac:dyDescent="0.2">
      <c r="C103" s="1" t="s">
        <v>165</v>
      </c>
      <c r="D103" s="37">
        <v>0</v>
      </c>
      <c r="E103" s="53">
        <v>1658.748</v>
      </c>
      <c r="F103" s="11"/>
      <c r="G103" s="9">
        <v>84.258499999999998</v>
      </c>
      <c r="H103" s="11">
        <v>0</v>
      </c>
      <c r="I103" s="35">
        <f t="shared" si="13"/>
        <v>84.258499999999998</v>
      </c>
      <c r="J103" s="36">
        <f t="shared" si="14"/>
        <v>1743.0065</v>
      </c>
    </row>
    <row r="104" spans="2:12" x14ac:dyDescent="0.2">
      <c r="C104" s="1" t="s">
        <v>166</v>
      </c>
      <c r="D104" s="37">
        <v>0</v>
      </c>
      <c r="E104" s="53">
        <v>3194.116</v>
      </c>
      <c r="F104" s="11"/>
      <c r="G104" s="9">
        <v>84.258499999999998</v>
      </c>
      <c r="H104" s="11">
        <v>0</v>
      </c>
      <c r="I104" s="35">
        <f t="shared" si="13"/>
        <v>84.258499999999998</v>
      </c>
      <c r="J104" s="36">
        <f t="shared" si="14"/>
        <v>3278.3744999999999</v>
      </c>
    </row>
    <row r="105" spans="2:12" x14ac:dyDescent="0.2">
      <c r="C105" s="1" t="s">
        <v>167</v>
      </c>
      <c r="D105" s="37">
        <v>0</v>
      </c>
      <c r="E105" s="53">
        <v>2878.66</v>
      </c>
      <c r="F105" s="11"/>
      <c r="G105" s="9">
        <v>84.258499999999998</v>
      </c>
      <c r="H105" s="11">
        <v>0</v>
      </c>
      <c r="I105" s="35">
        <f t="shared" si="13"/>
        <v>84.258499999999998</v>
      </c>
      <c r="J105" s="36">
        <f t="shared" si="14"/>
        <v>2962.9184999999998</v>
      </c>
    </row>
    <row r="106" spans="2:12" x14ac:dyDescent="0.2">
      <c r="C106" s="1" t="s">
        <v>168</v>
      </c>
      <c r="D106" s="37">
        <v>0</v>
      </c>
      <c r="E106" s="53">
        <v>4321.0251438333335</v>
      </c>
      <c r="F106" s="11"/>
      <c r="G106" s="9">
        <v>84.258499999999998</v>
      </c>
      <c r="H106" s="11">
        <v>0</v>
      </c>
      <c r="I106" s="35">
        <f t="shared" si="13"/>
        <v>84.258499999999998</v>
      </c>
      <c r="J106" s="36">
        <f t="shared" si="14"/>
        <v>4405.2836438333334</v>
      </c>
    </row>
    <row r="107" spans="2:12" x14ac:dyDescent="0.2">
      <c r="C107" s="1" t="s">
        <v>94</v>
      </c>
      <c r="D107" s="37">
        <v>0</v>
      </c>
      <c r="E107" s="53">
        <v>3221.9233099999997</v>
      </c>
      <c r="G107" s="9">
        <v>84.258499999999998</v>
      </c>
      <c r="I107" s="35">
        <f>SUM(F107:H107)</f>
        <v>84.258499999999998</v>
      </c>
      <c r="J107" s="36">
        <f>SUM(D107:H107)</f>
        <v>3306.1818099999996</v>
      </c>
    </row>
  </sheetData>
  <mergeCells count="2">
    <mergeCell ref="B2:N2"/>
    <mergeCell ref="T5:X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A1:K86"/>
  <sheetViews>
    <sheetView zoomScale="70" zoomScaleNormal="70" workbookViewId="0">
      <pane xSplit="1" ySplit="1" topLeftCell="B26" activePane="bottomRight" state="frozen"/>
      <selection pane="topRight" activeCell="C1" sqref="C1"/>
      <selection pane="bottomLeft" activeCell="A7" sqref="A7"/>
      <selection pane="bottomRight" activeCell="I4" sqref="I4"/>
    </sheetView>
  </sheetViews>
  <sheetFormatPr baseColWidth="10" defaultColWidth="9.28515625" defaultRowHeight="12.75" x14ac:dyDescent="0.2"/>
  <cols>
    <col min="1" max="1" width="36.5703125" style="1" customWidth="1"/>
    <col min="2" max="2" width="9.42578125" style="7" bestFit="1" customWidth="1"/>
    <col min="3" max="3" width="12" style="7" bestFit="1" customWidth="1"/>
    <col min="4" max="4" width="14.85546875" style="7" bestFit="1" customWidth="1"/>
    <col min="5" max="5" width="11" style="7" customWidth="1"/>
    <col min="6" max="8" width="11" style="1" customWidth="1"/>
    <col min="9" max="9" width="13.5703125" style="1" bestFit="1" customWidth="1"/>
    <col min="10" max="10" width="9.85546875" style="1" bestFit="1" customWidth="1"/>
    <col min="11" max="11" width="11.42578125" style="1" bestFit="1" customWidth="1"/>
    <col min="12" max="12" width="9.28515625" style="1"/>
    <col min="13" max="13" width="10.42578125" style="1" bestFit="1" customWidth="1"/>
    <col min="14" max="16384" width="9.28515625" style="1"/>
  </cols>
  <sheetData>
    <row r="1" spans="1:11" ht="23.25" x14ac:dyDescent="0.35">
      <c r="A1" s="4" t="s">
        <v>0</v>
      </c>
      <c r="B1" s="4"/>
      <c r="C1" s="4"/>
      <c r="D1" s="4"/>
      <c r="E1" s="4"/>
      <c r="F1" s="4"/>
      <c r="G1" s="4"/>
      <c r="H1" s="4"/>
      <c r="I1" s="4"/>
      <c r="J1" s="3"/>
    </row>
    <row r="2" spans="1:11" ht="15" x14ac:dyDescent="0.25">
      <c r="A2" s="6" t="s">
        <v>11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3"/>
    </row>
    <row r="3" spans="1:11" x14ac:dyDescent="0.2">
      <c r="A3" s="1" t="s">
        <v>12</v>
      </c>
      <c r="B3" s="7">
        <v>0</v>
      </c>
      <c r="C3" s="8">
        <v>600</v>
      </c>
      <c r="D3" s="9">
        <v>495.86776859504135</v>
      </c>
      <c r="E3" s="9">
        <v>0</v>
      </c>
      <c r="F3" s="9">
        <v>106.60552691240001</v>
      </c>
      <c r="G3" s="9">
        <f>SUM(E3:F3)</f>
        <v>106.60552691240001</v>
      </c>
      <c r="H3" s="9">
        <f t="shared" ref="H3:H12" si="0">D3-G3</f>
        <v>389.26224168264133</v>
      </c>
      <c r="I3" s="10">
        <f>(D3-[1]Estructura!Q7)/D3</f>
        <v>0.78501218739332668</v>
      </c>
      <c r="J3" s="3"/>
    </row>
    <row r="4" spans="1:11" ht="15" x14ac:dyDescent="0.25">
      <c r="A4" s="13" t="s">
        <v>13</v>
      </c>
      <c r="B4" s="12">
        <v>0.16</v>
      </c>
      <c r="C4" s="8">
        <v>3100</v>
      </c>
      <c r="D4" s="9">
        <v>2561.9834710743803</v>
      </c>
      <c r="E4" s="9">
        <v>535.89643468423253</v>
      </c>
      <c r="F4" s="9">
        <v>143.3637127713144</v>
      </c>
      <c r="G4" s="9">
        <f>SUM(E4:F4)</f>
        <v>679.26014745554698</v>
      </c>
      <c r="H4" s="9">
        <f t="shared" si="0"/>
        <v>1882.7233236188333</v>
      </c>
      <c r="I4" s="10">
        <f>(D4-[1]Estructura!Q8)/D4</f>
        <v>0.73486942631573815</v>
      </c>
      <c r="J4" s="3"/>
    </row>
    <row r="5" spans="1:11" x14ac:dyDescent="0.2">
      <c r="A5" s="14" t="s">
        <v>14</v>
      </c>
      <c r="B5" s="12">
        <v>0.24</v>
      </c>
      <c r="C5" s="8">
        <v>3400</v>
      </c>
      <c r="D5" s="9">
        <v>2809.9173553719011</v>
      </c>
      <c r="E5" s="9">
        <v>803.84465202634874</v>
      </c>
      <c r="F5" s="9">
        <v>143.3637127713144</v>
      </c>
      <c r="G5" s="9">
        <f t="shared" ref="G5:G12" si="1">SUM(E5:F5)</f>
        <v>947.20836479766308</v>
      </c>
      <c r="H5" s="9">
        <f t="shared" si="0"/>
        <v>1862.708990574238</v>
      </c>
      <c r="I5" s="10">
        <f>(D5-[1]Estructura!Q9)/D5</f>
        <v>0.6629052584102435</v>
      </c>
      <c r="J5" s="3"/>
    </row>
    <row r="6" spans="1:11" x14ac:dyDescent="0.2">
      <c r="A6" s="1" t="s">
        <v>15</v>
      </c>
      <c r="B6" s="12">
        <v>0.16</v>
      </c>
      <c r="C6" s="8">
        <v>3300</v>
      </c>
      <c r="D6" s="9">
        <v>2727.2727272727275</v>
      </c>
      <c r="E6" s="9">
        <v>535.89643468423253</v>
      </c>
      <c r="F6" s="9">
        <v>303.20902298000954</v>
      </c>
      <c r="G6" s="9">
        <f t="shared" si="1"/>
        <v>839.10545766424207</v>
      </c>
      <c r="H6" s="9">
        <f t="shared" si="0"/>
        <v>1888.1672696084854</v>
      </c>
      <c r="I6" s="10">
        <f>(D6-[1]Estructura!Q10)/D6</f>
        <v>0.69232799885644458</v>
      </c>
      <c r="J6" s="3"/>
    </row>
    <row r="7" spans="1:11" x14ac:dyDescent="0.2">
      <c r="A7" s="1" t="s">
        <v>16</v>
      </c>
      <c r="B7" s="12">
        <v>0.24</v>
      </c>
      <c r="C7" s="8">
        <v>3700</v>
      </c>
      <c r="D7" s="9">
        <v>3057.8512396694214</v>
      </c>
      <c r="E7" s="9">
        <v>803.84465202634874</v>
      </c>
      <c r="F7" s="9">
        <v>265.66690952380952</v>
      </c>
      <c r="G7" s="9">
        <f t="shared" si="1"/>
        <v>1069.5115615501581</v>
      </c>
      <c r="H7" s="9">
        <f t="shared" si="0"/>
        <v>1988.3396781192632</v>
      </c>
      <c r="I7" s="10">
        <f>(D7-[1]Estructura!Q11)/D7</f>
        <v>0.65024081365521857</v>
      </c>
      <c r="J7" s="3"/>
    </row>
    <row r="8" spans="1:11" x14ac:dyDescent="0.2">
      <c r="A8" s="1" t="s">
        <v>17</v>
      </c>
      <c r="B8" s="12">
        <v>0.08</v>
      </c>
      <c r="C8" s="8">
        <v>2400</v>
      </c>
      <c r="D8" s="9">
        <v>1983.4710743801654</v>
      </c>
      <c r="E8" s="9">
        <v>267.94821734211627</v>
      </c>
      <c r="F8" s="9">
        <v>143.3637127713144</v>
      </c>
      <c r="G8" s="9">
        <f t="shared" si="1"/>
        <v>411.31193011343066</v>
      </c>
      <c r="H8" s="9">
        <f t="shared" si="0"/>
        <v>1572.1591442667348</v>
      </c>
      <c r="I8" s="10">
        <f>(D8-[1]Estructura!Q12)/D8</f>
        <v>0.79263023523447873</v>
      </c>
      <c r="J8" s="3"/>
    </row>
    <row r="9" spans="1:11" x14ac:dyDescent="0.2">
      <c r="A9" s="1" t="s">
        <v>18</v>
      </c>
      <c r="B9" s="12">
        <v>0.08</v>
      </c>
      <c r="C9" s="8">
        <v>2500</v>
      </c>
      <c r="D9" s="9">
        <v>2066.1157024793388</v>
      </c>
      <c r="E9" s="9">
        <v>267.94821734211627</v>
      </c>
      <c r="F9" s="9">
        <v>379.4111729800095</v>
      </c>
      <c r="G9" s="9">
        <f t="shared" si="1"/>
        <v>647.35939032212582</v>
      </c>
      <c r="H9" s="9">
        <f t="shared" si="0"/>
        <v>1418.756312157213</v>
      </c>
      <c r="I9" s="10">
        <f>(D9-[1]Estructura!Q13)/D9</f>
        <v>0.68667805508409108</v>
      </c>
      <c r="J9" s="3"/>
    </row>
    <row r="10" spans="1:11" x14ac:dyDescent="0.2">
      <c r="A10" s="1" t="s">
        <v>19</v>
      </c>
      <c r="B10" s="12">
        <v>0.08</v>
      </c>
      <c r="C10" s="8">
        <v>2400</v>
      </c>
      <c r="D10" s="9">
        <v>1983.4710743801654</v>
      </c>
      <c r="E10" s="9">
        <v>267.94821734211627</v>
      </c>
      <c r="F10" s="9">
        <v>149.93087943798105</v>
      </c>
      <c r="G10" s="9">
        <f t="shared" si="1"/>
        <v>417.87909678009731</v>
      </c>
      <c r="H10" s="9">
        <f t="shared" si="0"/>
        <v>1565.591977600068</v>
      </c>
      <c r="I10" s="10">
        <f>(D10-[1]Estructura!Q14)/D10</f>
        <v>0.78931928870670087</v>
      </c>
      <c r="J10" s="3"/>
    </row>
    <row r="11" spans="1:11" x14ac:dyDescent="0.2">
      <c r="A11" s="1" t="s">
        <v>20</v>
      </c>
      <c r="B11" s="12">
        <v>0.16</v>
      </c>
      <c r="C11" s="8">
        <v>3100</v>
      </c>
      <c r="D11" s="9">
        <v>2561.9834710743803</v>
      </c>
      <c r="E11" s="9">
        <v>535.89643468423253</v>
      </c>
      <c r="F11" s="9">
        <v>149.93087943798105</v>
      </c>
      <c r="G11" s="9">
        <f t="shared" si="1"/>
        <v>685.82731412221358</v>
      </c>
      <c r="H11" s="9">
        <f t="shared" si="0"/>
        <v>1876.1561569521668</v>
      </c>
      <c r="I11" s="10">
        <f>(D11-[1]Estructura!Q15)/D11</f>
        <v>0.73230611287487801</v>
      </c>
      <c r="J11" s="3"/>
    </row>
    <row r="12" spans="1:11" x14ac:dyDescent="0.2">
      <c r="A12" s="1" t="s">
        <v>21</v>
      </c>
      <c r="B12" s="12">
        <v>0.24</v>
      </c>
      <c r="C12" s="8">
        <v>3400</v>
      </c>
      <c r="D12" s="9">
        <v>2809.9173553719011</v>
      </c>
      <c r="E12" s="9">
        <v>803.84465202634874</v>
      </c>
      <c r="F12" s="9">
        <v>149.93087943798105</v>
      </c>
      <c r="G12" s="9">
        <f t="shared" si="1"/>
        <v>953.77553146432979</v>
      </c>
      <c r="H12" s="9">
        <f t="shared" si="0"/>
        <v>1856.1418239075713</v>
      </c>
      <c r="I12" s="10">
        <f>(D12-[1]Estructura!Q16)/D12</f>
        <v>0.66056811968475326</v>
      </c>
      <c r="J12" s="3"/>
    </row>
    <row r="13" spans="1:11" ht="15" x14ac:dyDescent="0.25">
      <c r="A13" s="15" t="s">
        <v>22</v>
      </c>
      <c r="B13" s="5" t="s">
        <v>1</v>
      </c>
      <c r="C13" s="5" t="s">
        <v>2</v>
      </c>
      <c r="D13" s="5" t="s">
        <v>3</v>
      </c>
      <c r="E13" s="5" t="s">
        <v>4</v>
      </c>
      <c r="F13" s="5" t="s">
        <v>5</v>
      </c>
      <c r="G13" s="5" t="s">
        <v>6</v>
      </c>
      <c r="H13" s="5" t="s">
        <v>7</v>
      </c>
      <c r="I13" s="5" t="s">
        <v>8</v>
      </c>
      <c r="J13" s="3"/>
    </row>
    <row r="14" spans="1:11" ht="15" x14ac:dyDescent="0.25">
      <c r="A14" s="13" t="s">
        <v>23</v>
      </c>
      <c r="B14" s="7">
        <v>1</v>
      </c>
      <c r="C14" s="8">
        <v>14000</v>
      </c>
      <c r="D14" s="9">
        <v>11570.247933884299</v>
      </c>
      <c r="E14" s="9">
        <v>3349.3527167764532</v>
      </c>
      <c r="F14" s="9">
        <v>567.02875410872321</v>
      </c>
      <c r="G14" s="9">
        <f>SUM(E14:F14)</f>
        <v>3916.3814708851764</v>
      </c>
      <c r="H14" s="9">
        <f>D14-G14</f>
        <v>7653.8664629991217</v>
      </c>
      <c r="I14" s="16">
        <f>H14/D14</f>
        <v>0.66151274430206686</v>
      </c>
      <c r="J14" s="3"/>
    </row>
    <row r="15" spans="1:11" ht="15" x14ac:dyDescent="0.25">
      <c r="A15" s="13" t="s">
        <v>24</v>
      </c>
      <c r="B15" s="7">
        <v>0.5</v>
      </c>
      <c r="C15" s="8">
        <v>8100</v>
      </c>
      <c r="D15" s="9">
        <v>6694.2148760330583</v>
      </c>
      <c r="E15" s="9">
        <v>1674.6763583882266</v>
      </c>
      <c r="F15" s="9">
        <v>384.07592857142856</v>
      </c>
      <c r="G15" s="9">
        <f>SUM(E15:F15)</f>
        <v>2058.7522869596551</v>
      </c>
      <c r="H15" s="9">
        <f>D15-G15</f>
        <v>4635.4625890734033</v>
      </c>
      <c r="I15" s="16">
        <f>H15/D15</f>
        <v>0.69245799170108857</v>
      </c>
      <c r="J15" s="3"/>
      <c r="K15" s="18"/>
    </row>
    <row r="16" spans="1:11" ht="15" x14ac:dyDescent="0.25">
      <c r="A16" s="13" t="s">
        <v>25</v>
      </c>
      <c r="B16" s="7">
        <v>0.25</v>
      </c>
      <c r="C16" s="8">
        <v>4800</v>
      </c>
      <c r="D16" s="9">
        <v>3966.9421487603308</v>
      </c>
      <c r="E16" s="9">
        <v>837.33817919411331</v>
      </c>
      <c r="F16" s="9">
        <v>283.01068997347318</v>
      </c>
      <c r="G16" s="9">
        <f>SUM(E16:F16)</f>
        <v>1120.3488691675866</v>
      </c>
      <c r="H16" s="9">
        <f>D16-G16</f>
        <v>2846.5932795927442</v>
      </c>
      <c r="I16" s="16">
        <f>H16/D16</f>
        <v>0.71757872256400423</v>
      </c>
      <c r="J16" s="3"/>
    </row>
    <row r="17" spans="1:10" ht="15" x14ac:dyDescent="0.25">
      <c r="A17" s="6" t="s">
        <v>26</v>
      </c>
      <c r="B17" s="5" t="s">
        <v>1</v>
      </c>
      <c r="C17" s="5" t="s">
        <v>2</v>
      </c>
      <c r="D17" s="5" t="s">
        <v>3</v>
      </c>
      <c r="E17" s="5" t="s">
        <v>4</v>
      </c>
      <c r="F17" s="5" t="s">
        <v>5</v>
      </c>
      <c r="G17" s="5" t="s">
        <v>6</v>
      </c>
      <c r="H17" s="5" t="s">
        <v>7</v>
      </c>
      <c r="I17" s="5" t="s">
        <v>8</v>
      </c>
      <c r="J17" s="3"/>
    </row>
    <row r="18" spans="1:10" ht="15" x14ac:dyDescent="0.25">
      <c r="A18" s="19" t="s">
        <v>27</v>
      </c>
      <c r="B18" s="7">
        <v>0.16</v>
      </c>
      <c r="C18" s="8">
        <v>3800</v>
      </c>
      <c r="D18" s="9">
        <v>3140.495867768595</v>
      </c>
      <c r="E18" s="9">
        <v>535.89643468423253</v>
      </c>
      <c r="F18" s="9">
        <v>401.574275</v>
      </c>
      <c r="G18" s="9">
        <f t="shared" ref="G18:G36" si="2">SUM(E18:F18)</f>
        <v>937.47070968423259</v>
      </c>
      <c r="H18" s="9">
        <f t="shared" ref="H18:H36" si="3">D18-G18</f>
        <v>2203.0251580843624</v>
      </c>
      <c r="I18" s="17">
        <f t="shared" ref="I18:I36" si="4">H18/D18</f>
        <v>0.70148958981107334</v>
      </c>
      <c r="J18" s="3"/>
    </row>
    <row r="19" spans="1:10" x14ac:dyDescent="0.2">
      <c r="A19" t="s">
        <v>28</v>
      </c>
      <c r="B19" s="7">
        <v>0.16</v>
      </c>
      <c r="C19" s="8">
        <v>4300</v>
      </c>
      <c r="D19" s="9">
        <v>3553.7190082644629</v>
      </c>
      <c r="E19" s="9">
        <v>535.89643468423253</v>
      </c>
      <c r="F19" s="9">
        <v>707.41927499999997</v>
      </c>
      <c r="G19" s="9">
        <f t="shared" si="2"/>
        <v>1243.3157096842324</v>
      </c>
      <c r="H19" s="9">
        <f t="shared" si="3"/>
        <v>2310.4032985802305</v>
      </c>
      <c r="I19" s="17">
        <f t="shared" si="4"/>
        <v>0.65013674215862294</v>
      </c>
      <c r="J19" s="3"/>
    </row>
    <row r="20" spans="1:10" x14ac:dyDescent="0.2">
      <c r="A20" s="1" t="s">
        <v>29</v>
      </c>
      <c r="B20" s="7">
        <v>0.16</v>
      </c>
      <c r="C20" s="8">
        <v>3900</v>
      </c>
      <c r="D20" s="9">
        <v>3223.1404958677685</v>
      </c>
      <c r="E20" s="9">
        <v>535.89643468423253</v>
      </c>
      <c r="F20" s="9">
        <v>494.18162794117649</v>
      </c>
      <c r="G20" s="9">
        <f t="shared" si="2"/>
        <v>1030.0780626254091</v>
      </c>
      <c r="H20" s="9">
        <f t="shared" si="3"/>
        <v>2193.0624332423595</v>
      </c>
      <c r="I20" s="17">
        <f t="shared" si="4"/>
        <v>0.68041167800596281</v>
      </c>
      <c r="J20" s="3"/>
    </row>
    <row r="21" spans="1:10" x14ac:dyDescent="0.2">
      <c r="A21" s="20" t="s">
        <v>30</v>
      </c>
      <c r="B21" s="7">
        <v>3.5000000000000003E-2</v>
      </c>
      <c r="C21" s="8">
        <v>4100</v>
      </c>
      <c r="D21" s="9">
        <v>3388.4297520661157</v>
      </c>
      <c r="E21" s="9">
        <v>117.22734508717588</v>
      </c>
      <c r="F21" s="9">
        <v>2190.1457035714284</v>
      </c>
      <c r="G21" s="9">
        <f t="shared" si="2"/>
        <v>2307.3730486586041</v>
      </c>
      <c r="H21" s="9">
        <f t="shared" si="3"/>
        <v>1081.0567034075116</v>
      </c>
      <c r="I21" s="17">
        <f>H21/D21</f>
        <v>0.3190435636885583</v>
      </c>
      <c r="J21" s="3"/>
    </row>
    <row r="22" spans="1:10" x14ac:dyDescent="0.2">
      <c r="A22" s="1" t="s">
        <v>31</v>
      </c>
      <c r="B22" s="7">
        <v>0.16</v>
      </c>
      <c r="C22" s="8">
        <v>3800</v>
      </c>
      <c r="D22" s="9">
        <v>3140.495867768595</v>
      </c>
      <c r="E22" s="9">
        <v>535.89643468423253</v>
      </c>
      <c r="F22" s="9">
        <v>493.25947966284082</v>
      </c>
      <c r="G22" s="9">
        <f t="shared" si="2"/>
        <v>1029.1559143470733</v>
      </c>
      <c r="H22" s="9">
        <f t="shared" si="3"/>
        <v>2111.3399534215214</v>
      </c>
      <c r="I22" s="17">
        <f t="shared" si="4"/>
        <v>0.67229509043158975</v>
      </c>
      <c r="J22" s="3"/>
    </row>
    <row r="23" spans="1:10" x14ac:dyDescent="0.2">
      <c r="A23" s="1" t="s">
        <v>32</v>
      </c>
      <c r="B23" s="7">
        <v>0.125</v>
      </c>
      <c r="C23" s="8">
        <v>3800</v>
      </c>
      <c r="D23" s="9">
        <v>3140.495867768595</v>
      </c>
      <c r="E23" s="9">
        <v>418.66908959705665</v>
      </c>
      <c r="F23" s="9">
        <v>442.75323532486163</v>
      </c>
      <c r="G23" s="9">
        <f t="shared" si="2"/>
        <v>861.42232492191829</v>
      </c>
      <c r="H23" s="9">
        <f t="shared" si="3"/>
        <v>2279.0735428466769</v>
      </c>
      <c r="I23" s="17">
        <f t="shared" si="4"/>
        <v>0.72570499653802079</v>
      </c>
      <c r="J23" s="3"/>
    </row>
    <row r="24" spans="1:10" x14ac:dyDescent="0.2">
      <c r="A24" s="1" t="s">
        <v>33</v>
      </c>
      <c r="B24" s="7">
        <v>0.125</v>
      </c>
      <c r="C24" s="8">
        <v>3800</v>
      </c>
      <c r="D24" s="9">
        <v>3140.495867768595</v>
      </c>
      <c r="E24" s="9">
        <v>418.66908959705665</v>
      </c>
      <c r="F24" s="9">
        <v>480.66469873949575</v>
      </c>
      <c r="G24" s="9">
        <f t="shared" si="2"/>
        <v>899.3337883365524</v>
      </c>
      <c r="H24" s="9">
        <f t="shared" si="3"/>
        <v>2241.1620794320424</v>
      </c>
      <c r="I24" s="17">
        <f t="shared" si="4"/>
        <v>0.71363318845072932</v>
      </c>
      <c r="J24" s="3"/>
    </row>
    <row r="25" spans="1:10" x14ac:dyDescent="0.2">
      <c r="A25" s="1" t="s">
        <v>34</v>
      </c>
      <c r="B25" s="7">
        <v>0.125</v>
      </c>
      <c r="C25" s="8">
        <v>3800</v>
      </c>
      <c r="D25" s="9">
        <v>3140.495867768595</v>
      </c>
      <c r="E25" s="9">
        <v>418.66908959705665</v>
      </c>
      <c r="F25" s="9">
        <v>452.13926395688708</v>
      </c>
      <c r="G25" s="9">
        <f t="shared" si="2"/>
        <v>870.80835355394379</v>
      </c>
      <c r="H25" s="9">
        <f t="shared" si="3"/>
        <v>2269.6875142146509</v>
      </c>
      <c r="I25" s="17">
        <f t="shared" si="4"/>
        <v>0.72271628742098093</v>
      </c>
      <c r="J25" s="3"/>
    </row>
    <row r="26" spans="1:10" x14ac:dyDescent="0.2">
      <c r="A26" s="1" t="s">
        <v>35</v>
      </c>
      <c r="B26" s="7">
        <v>0.125</v>
      </c>
      <c r="C26" s="8">
        <v>3800</v>
      </c>
      <c r="D26" s="9">
        <v>3140.495867768595</v>
      </c>
      <c r="E26" s="9">
        <v>418.66908959705665</v>
      </c>
      <c r="F26" s="9">
        <v>404.08469873949576</v>
      </c>
      <c r="G26" s="9">
        <f t="shared" si="2"/>
        <v>822.75378833655236</v>
      </c>
      <c r="H26" s="9">
        <f t="shared" si="3"/>
        <v>2317.7420794320424</v>
      </c>
      <c r="I26" s="17">
        <f t="shared" si="4"/>
        <v>0.73801787266125563</v>
      </c>
      <c r="J26" s="3"/>
    </row>
    <row r="27" spans="1:10" x14ac:dyDescent="0.2">
      <c r="A27" s="20" t="s">
        <v>36</v>
      </c>
      <c r="B27" s="7">
        <v>0.08</v>
      </c>
      <c r="C27" s="8">
        <v>3800</v>
      </c>
      <c r="D27" s="9">
        <v>3140.495867768595</v>
      </c>
      <c r="E27" s="9">
        <v>267.94821734211627</v>
      </c>
      <c r="F27" s="9">
        <v>1239.7837127713144</v>
      </c>
      <c r="G27" s="9">
        <f t="shared" si="2"/>
        <v>1507.7319301134307</v>
      </c>
      <c r="H27" s="9">
        <f t="shared" si="3"/>
        <v>1632.7639376551642</v>
      </c>
      <c r="I27" s="17">
        <f t="shared" si="4"/>
        <v>0.51990641172703911</v>
      </c>
      <c r="J27" s="3"/>
    </row>
    <row r="28" spans="1:10" x14ac:dyDescent="0.2">
      <c r="A28" s="20" t="s">
        <v>37</v>
      </c>
      <c r="B28" s="7">
        <v>0.16</v>
      </c>
      <c r="C28" s="8">
        <v>4400</v>
      </c>
      <c r="D28" s="9">
        <v>3636.3636363636365</v>
      </c>
      <c r="E28" s="9">
        <v>535.89643468423253</v>
      </c>
      <c r="F28" s="9">
        <v>1239.7837127713144</v>
      </c>
      <c r="G28" s="9">
        <f t="shared" si="2"/>
        <v>1775.6801474555468</v>
      </c>
      <c r="H28" s="9">
        <f t="shared" si="3"/>
        <v>1860.6834889080897</v>
      </c>
      <c r="I28" s="17">
        <f t="shared" si="4"/>
        <v>0.51168795944972467</v>
      </c>
      <c r="J28" s="3"/>
    </row>
    <row r="29" spans="1:10" x14ac:dyDescent="0.2">
      <c r="A29" s="1" t="s">
        <v>38</v>
      </c>
      <c r="B29" s="7">
        <v>0.16</v>
      </c>
      <c r="C29" s="8">
        <v>3700</v>
      </c>
      <c r="D29" s="9">
        <v>3057.8512396694214</v>
      </c>
      <c r="E29" s="9">
        <v>535.89643468423253</v>
      </c>
      <c r="F29" s="9">
        <v>782.98944592499981</v>
      </c>
      <c r="G29" s="9">
        <f t="shared" si="2"/>
        <v>1318.8858806092323</v>
      </c>
      <c r="H29" s="9">
        <f t="shared" si="3"/>
        <v>1738.965359060189</v>
      </c>
      <c r="I29" s="17">
        <f t="shared" si="4"/>
        <v>0.5686886714764402</v>
      </c>
      <c r="J29" s="3"/>
    </row>
    <row r="30" spans="1:10" x14ac:dyDescent="0.2">
      <c r="A30" s="1" t="s">
        <v>39</v>
      </c>
      <c r="B30" s="7">
        <v>0.125</v>
      </c>
      <c r="C30" s="8">
        <v>3800</v>
      </c>
      <c r="D30" s="9">
        <v>3140.495867768595</v>
      </c>
      <c r="E30" s="9">
        <v>219.11549183280977</v>
      </c>
      <c r="F30" s="9">
        <v>315.39834097920863</v>
      </c>
      <c r="G30" s="9">
        <f t="shared" si="2"/>
        <v>534.51383281201834</v>
      </c>
      <c r="H30" s="9">
        <f t="shared" si="3"/>
        <v>2605.9820349565766</v>
      </c>
      <c r="I30" s="17">
        <f t="shared" si="4"/>
        <v>0.82979954270985734</v>
      </c>
      <c r="J30" s="3"/>
    </row>
    <row r="31" spans="1:10" ht="15" x14ac:dyDescent="0.25">
      <c r="A31" s="21" t="s">
        <v>40</v>
      </c>
      <c r="B31" s="7">
        <v>0.48</v>
      </c>
      <c r="C31" s="8">
        <v>14500</v>
      </c>
      <c r="D31" s="9">
        <v>11983.471074380166</v>
      </c>
      <c r="E31" s="9">
        <v>8399.380944026103</v>
      </c>
      <c r="F31" s="9">
        <v>84.258499999999998</v>
      </c>
      <c r="G31" s="9">
        <f t="shared" si="2"/>
        <v>8483.6394440261029</v>
      </c>
      <c r="H31" s="9">
        <f t="shared" si="3"/>
        <v>3499.8316303540632</v>
      </c>
      <c r="I31" s="17">
        <f t="shared" si="4"/>
        <v>0.29205491536058042</v>
      </c>
      <c r="J31" s="3"/>
    </row>
    <row r="32" spans="1:10" ht="15" x14ac:dyDescent="0.25">
      <c r="A32" s="21" t="s">
        <v>41</v>
      </c>
      <c r="B32" s="7">
        <v>0.08</v>
      </c>
      <c r="C32" s="8">
        <v>2700</v>
      </c>
      <c r="D32" s="9">
        <v>2231.404958677686</v>
      </c>
      <c r="E32" s="9">
        <v>699.94841200217525</v>
      </c>
      <c r="F32" s="9">
        <v>23.747542857142854</v>
      </c>
      <c r="G32" s="9">
        <f t="shared" si="2"/>
        <v>723.69595485931814</v>
      </c>
      <c r="H32" s="9">
        <f t="shared" si="3"/>
        <v>1507.7090038183678</v>
      </c>
      <c r="I32" s="17">
        <f t="shared" si="4"/>
        <v>0.67567699800749081</v>
      </c>
      <c r="J32" s="3"/>
    </row>
    <row r="33" spans="1:10" ht="15" x14ac:dyDescent="0.25">
      <c r="A33" s="21" t="s">
        <v>42</v>
      </c>
      <c r="B33" s="7">
        <v>0.48</v>
      </c>
      <c r="C33" s="8">
        <v>14500</v>
      </c>
      <c r="D33" s="9">
        <v>11983.471074380166</v>
      </c>
      <c r="E33" s="9">
        <v>8399.380944026103</v>
      </c>
      <c r="F33" s="9">
        <v>84.258499999999998</v>
      </c>
      <c r="G33" s="9">
        <f t="shared" si="2"/>
        <v>8483.6394440261029</v>
      </c>
      <c r="H33" s="9">
        <f t="shared" si="3"/>
        <v>3499.8316303540632</v>
      </c>
      <c r="I33" s="17">
        <f t="shared" si="4"/>
        <v>0.29205491536058042</v>
      </c>
      <c r="J33" s="3"/>
    </row>
    <row r="34" spans="1:10" ht="15" x14ac:dyDescent="0.25">
      <c r="A34" s="21" t="s">
        <v>43</v>
      </c>
      <c r="B34" s="7">
        <v>0.08</v>
      </c>
      <c r="C34" s="8">
        <v>2700</v>
      </c>
      <c r="D34" s="9">
        <v>2231.404958677686</v>
      </c>
      <c r="E34" s="9">
        <v>699.94841200217525</v>
      </c>
      <c r="F34" s="9">
        <v>23.747542857142854</v>
      </c>
      <c r="G34" s="9">
        <f t="shared" si="2"/>
        <v>723.69595485931814</v>
      </c>
      <c r="H34" s="9">
        <f t="shared" si="3"/>
        <v>1507.7090038183678</v>
      </c>
      <c r="I34" s="17">
        <f t="shared" si="4"/>
        <v>0.67567699800749081</v>
      </c>
      <c r="J34" s="3"/>
    </row>
    <row r="35" spans="1:10" ht="15.75" x14ac:dyDescent="0.2">
      <c r="A35" s="22" t="s">
        <v>44</v>
      </c>
      <c r="B35" s="7">
        <v>0.48</v>
      </c>
      <c r="C35" s="8">
        <v>14500</v>
      </c>
      <c r="D35" s="9">
        <v>11983.471074380166</v>
      </c>
      <c r="E35" s="9">
        <v>8399.380944026103</v>
      </c>
      <c r="F35" s="9">
        <v>84.258499999999998</v>
      </c>
      <c r="G35" s="9">
        <f t="shared" si="2"/>
        <v>8483.6394440261029</v>
      </c>
      <c r="H35" s="9">
        <f t="shared" si="3"/>
        <v>3499.8316303540632</v>
      </c>
      <c r="I35" s="17">
        <f t="shared" si="4"/>
        <v>0.29205491536058042</v>
      </c>
      <c r="J35" s="3"/>
    </row>
    <row r="36" spans="1:10" ht="15.75" x14ac:dyDescent="0.2">
      <c r="A36" s="22" t="s">
        <v>45</v>
      </c>
      <c r="B36" s="7">
        <v>0.08</v>
      </c>
      <c r="C36" s="8">
        <v>2700</v>
      </c>
      <c r="D36" s="9">
        <v>2231.404958677686</v>
      </c>
      <c r="E36" s="9">
        <v>699.94841200217525</v>
      </c>
      <c r="F36" s="9">
        <v>23.747542857142854</v>
      </c>
      <c r="G36" s="9">
        <f t="shared" si="2"/>
        <v>723.69595485931814</v>
      </c>
      <c r="H36" s="9">
        <f t="shared" si="3"/>
        <v>1507.7090038183678</v>
      </c>
      <c r="I36" s="17">
        <f t="shared" si="4"/>
        <v>0.67567699800749081</v>
      </c>
      <c r="J36" s="3"/>
    </row>
    <row r="37" spans="1:10" ht="15" x14ac:dyDescent="0.25">
      <c r="A37" s="6" t="s">
        <v>46</v>
      </c>
      <c r="B37" s="5" t="s">
        <v>1</v>
      </c>
      <c r="C37" s="5" t="s">
        <v>2</v>
      </c>
      <c r="D37" s="5" t="s">
        <v>3</v>
      </c>
      <c r="E37" s="5" t="s">
        <v>4</v>
      </c>
      <c r="F37" s="5" t="s">
        <v>5</v>
      </c>
      <c r="G37" s="5" t="s">
        <v>6</v>
      </c>
      <c r="H37" s="5" t="s">
        <v>7</v>
      </c>
      <c r="I37" s="5" t="s">
        <v>8</v>
      </c>
      <c r="J37" s="3"/>
    </row>
    <row r="38" spans="1:10" ht="15" x14ac:dyDescent="0.25">
      <c r="A38" s="13" t="s">
        <v>47</v>
      </c>
      <c r="B38" s="7">
        <v>0.55999999999999994</v>
      </c>
      <c r="C38" s="8">
        <v>11700</v>
      </c>
      <c r="D38" s="9">
        <v>9669.4214876033056</v>
      </c>
      <c r="E38" s="9">
        <v>3848.1091199999996</v>
      </c>
      <c r="F38" s="9">
        <v>84.258499999999998</v>
      </c>
      <c r="G38" s="9">
        <f t="shared" ref="G38:G49" si="5">SUM(E38:F38)</f>
        <v>3932.3676199999995</v>
      </c>
      <c r="H38" s="9">
        <f t="shared" ref="H38:H49" si="6">D38-G38</f>
        <v>5737.0538676033066</v>
      </c>
      <c r="I38" s="17">
        <f t="shared" ref="I38:I49" si="7">H38/D38</f>
        <v>0.59331924613675224</v>
      </c>
      <c r="J38" s="3"/>
    </row>
    <row r="39" spans="1:10" ht="15" x14ac:dyDescent="0.25">
      <c r="A39" s="13" t="s">
        <v>48</v>
      </c>
      <c r="B39" s="7">
        <v>7.0000000000000007E-2</v>
      </c>
      <c r="C39" s="8">
        <v>1800</v>
      </c>
      <c r="D39" s="9">
        <v>1487.6033057851241</v>
      </c>
      <c r="E39" s="9">
        <v>481.01363999999995</v>
      </c>
      <c r="F39" s="9">
        <v>6.7403999999999993</v>
      </c>
      <c r="G39" s="9">
        <f t="shared" si="5"/>
        <v>487.75403999999997</v>
      </c>
      <c r="H39" s="9">
        <f t="shared" si="6"/>
        <v>999.84926578512409</v>
      </c>
      <c r="I39" s="17">
        <f t="shared" si="7"/>
        <v>0.6721208953333333</v>
      </c>
      <c r="J39" s="3"/>
    </row>
    <row r="40" spans="1:10" ht="15" x14ac:dyDescent="0.25">
      <c r="A40" s="13" t="s">
        <v>49</v>
      </c>
      <c r="B40" s="7">
        <v>0.72</v>
      </c>
      <c r="C40" s="8">
        <v>13200</v>
      </c>
      <c r="D40" s="9">
        <v>10909.09090909091</v>
      </c>
      <c r="E40" s="9">
        <v>4553.254498749885</v>
      </c>
      <c r="F40" s="9">
        <v>84.258499999999998</v>
      </c>
      <c r="G40" s="9">
        <f t="shared" si="5"/>
        <v>4637.5129987498849</v>
      </c>
      <c r="H40" s="9">
        <f t="shared" si="6"/>
        <v>6271.577910341025</v>
      </c>
      <c r="I40" s="17">
        <f t="shared" si="7"/>
        <v>0.5748946417812606</v>
      </c>
      <c r="J40" s="3"/>
    </row>
    <row r="41" spans="1:10" ht="15" x14ac:dyDescent="0.25">
      <c r="A41" s="13" t="s">
        <v>50</v>
      </c>
      <c r="B41" s="7">
        <v>0.09</v>
      </c>
      <c r="C41" s="8">
        <v>2000</v>
      </c>
      <c r="D41" s="9">
        <v>1652.8925619834711</v>
      </c>
      <c r="E41" s="9">
        <v>569.15681234373562</v>
      </c>
      <c r="F41" s="9">
        <v>6.7403999999999993</v>
      </c>
      <c r="G41" s="9">
        <f t="shared" si="5"/>
        <v>575.89721234373565</v>
      </c>
      <c r="H41" s="9">
        <f t="shared" si="6"/>
        <v>1076.9953496397354</v>
      </c>
      <c r="I41" s="17">
        <f t="shared" si="7"/>
        <v>0.65158218653203992</v>
      </c>
      <c r="J41" s="3"/>
    </row>
    <row r="42" spans="1:10" ht="15" x14ac:dyDescent="0.25">
      <c r="A42" s="13" t="s">
        <v>51</v>
      </c>
      <c r="B42" s="7">
        <v>0.68</v>
      </c>
      <c r="C42" s="8">
        <v>12700</v>
      </c>
      <c r="D42" s="9">
        <v>10495.867768595042</v>
      </c>
      <c r="E42" s="9">
        <v>4060.0438918347645</v>
      </c>
      <c r="F42" s="9">
        <v>84.258499999999998</v>
      </c>
      <c r="G42" s="9">
        <f t="shared" si="5"/>
        <v>4144.3023918347644</v>
      </c>
      <c r="H42" s="9">
        <f t="shared" si="6"/>
        <v>6351.565376760278</v>
      </c>
      <c r="I42" s="17">
        <f t="shared" si="7"/>
        <v>0.6051491421952705</v>
      </c>
      <c r="J42" s="3"/>
    </row>
    <row r="43" spans="1:10" ht="15" x14ac:dyDescent="0.25">
      <c r="A43" s="13" t="s">
        <v>52</v>
      </c>
      <c r="B43" s="7">
        <v>8.5000000000000006E-2</v>
      </c>
      <c r="C43" s="8">
        <v>1900</v>
      </c>
      <c r="D43" s="9">
        <v>1570.2479338842975</v>
      </c>
      <c r="E43" s="9">
        <v>507.50548647934556</v>
      </c>
      <c r="F43" s="9">
        <v>6.7403999999999993</v>
      </c>
      <c r="G43" s="9">
        <f t="shared" si="5"/>
        <v>514.24588647934559</v>
      </c>
      <c r="H43" s="9">
        <f t="shared" si="6"/>
        <v>1056.002047404952</v>
      </c>
      <c r="I43" s="17">
        <f t="shared" si="7"/>
        <v>0.67250656703157474</v>
      </c>
      <c r="J43" s="3"/>
    </row>
    <row r="44" spans="1:10" ht="15" x14ac:dyDescent="0.25">
      <c r="A44" s="13" t="s">
        <v>53</v>
      </c>
      <c r="B44" s="7">
        <v>0.53600000000000003</v>
      </c>
      <c r="C44" s="8">
        <v>11700</v>
      </c>
      <c r="D44" s="9">
        <v>9669.4214876033056</v>
      </c>
      <c r="E44" s="9">
        <v>3848.1091199999996</v>
      </c>
      <c r="F44" s="9">
        <v>84.258499999999998</v>
      </c>
      <c r="G44" s="9">
        <f t="shared" si="5"/>
        <v>3932.3676199999995</v>
      </c>
      <c r="H44" s="9">
        <f t="shared" si="6"/>
        <v>5737.0538676033066</v>
      </c>
      <c r="I44" s="17">
        <f t="shared" si="7"/>
        <v>0.59331924613675224</v>
      </c>
      <c r="J44" s="3"/>
    </row>
    <row r="45" spans="1:10" ht="15" x14ac:dyDescent="0.25">
      <c r="A45" s="13" t="s">
        <v>54</v>
      </c>
      <c r="B45" s="7">
        <v>7.0000000000000007E-2</v>
      </c>
      <c r="C45" s="8">
        <v>1800</v>
      </c>
      <c r="D45" s="9">
        <v>1487.6033057851241</v>
      </c>
      <c r="E45" s="9">
        <v>481.01363999999995</v>
      </c>
      <c r="F45" s="9">
        <v>6.7403999999999993</v>
      </c>
      <c r="G45" s="9">
        <f t="shared" si="5"/>
        <v>487.75403999999997</v>
      </c>
      <c r="H45" s="9">
        <f t="shared" si="6"/>
        <v>999.84926578512409</v>
      </c>
      <c r="I45" s="17">
        <f t="shared" si="7"/>
        <v>0.6721208953333333</v>
      </c>
      <c r="J45" s="3"/>
    </row>
    <row r="46" spans="1:10" ht="15" x14ac:dyDescent="0.25">
      <c r="A46" s="13" t="s">
        <v>55</v>
      </c>
      <c r="B46" s="7">
        <v>0.59199999999999997</v>
      </c>
      <c r="C46" s="8">
        <v>11700</v>
      </c>
      <c r="D46" s="9">
        <v>9669.4214876033056</v>
      </c>
      <c r="E46" s="9">
        <v>4607.1360877876714</v>
      </c>
      <c r="F46" s="9">
        <v>84.258499999999998</v>
      </c>
      <c r="G46" s="9">
        <f t="shared" si="5"/>
        <v>4691.3945877876713</v>
      </c>
      <c r="H46" s="9">
        <f t="shared" si="6"/>
        <v>4978.0268998156344</v>
      </c>
      <c r="I46" s="17">
        <f t="shared" si="7"/>
        <v>0.51482158536554856</v>
      </c>
      <c r="J46" s="3"/>
    </row>
    <row r="47" spans="1:10" ht="15" x14ac:dyDescent="0.25">
      <c r="A47" s="13" t="s">
        <v>56</v>
      </c>
      <c r="B47" s="7">
        <v>7.3999999999999996E-2</v>
      </c>
      <c r="C47" s="8">
        <v>1800</v>
      </c>
      <c r="D47" s="9">
        <v>1487.6033057851241</v>
      </c>
      <c r="E47" s="9">
        <v>767.85601463127853</v>
      </c>
      <c r="F47" s="9">
        <v>6.7403999999999993</v>
      </c>
      <c r="G47" s="9">
        <f t="shared" si="5"/>
        <v>774.59641463127855</v>
      </c>
      <c r="H47" s="9">
        <f t="shared" si="6"/>
        <v>713.00689115384557</v>
      </c>
      <c r="I47" s="17">
        <f t="shared" si="7"/>
        <v>0.47929907683119616</v>
      </c>
      <c r="J47" s="3"/>
    </row>
    <row r="48" spans="1:10" x14ac:dyDescent="0.2">
      <c r="A48" s="24" t="s">
        <v>57</v>
      </c>
      <c r="B48" s="7">
        <v>0.49199999999999999</v>
      </c>
      <c r="C48" s="8">
        <v>13000</v>
      </c>
      <c r="D48" s="9">
        <v>10743.801652892562</v>
      </c>
      <c r="E48" s="9">
        <v>4607.1360877876714</v>
      </c>
      <c r="F48" s="9">
        <v>84.258499999999998</v>
      </c>
      <c r="G48" s="9">
        <f t="shared" si="5"/>
        <v>4691.3945877876713</v>
      </c>
      <c r="H48" s="9">
        <f t="shared" si="6"/>
        <v>6052.4070651048905</v>
      </c>
      <c r="I48" s="17">
        <f t="shared" si="7"/>
        <v>0.56333942682899363</v>
      </c>
      <c r="J48" s="3"/>
    </row>
    <row r="49" spans="1:10" x14ac:dyDescent="0.2">
      <c r="A49" s="24" t="s">
        <v>58</v>
      </c>
      <c r="B49" s="7">
        <v>8.2100000000000006E-2</v>
      </c>
      <c r="C49" s="8">
        <v>2300</v>
      </c>
      <c r="D49" s="9">
        <v>1900.8264462809918</v>
      </c>
      <c r="E49" s="9">
        <v>767.85601463127853</v>
      </c>
      <c r="F49" s="9">
        <v>6.7403999999999993</v>
      </c>
      <c r="G49" s="9">
        <f t="shared" si="5"/>
        <v>774.59641463127855</v>
      </c>
      <c r="H49" s="9">
        <f t="shared" si="6"/>
        <v>1126.2300316497133</v>
      </c>
      <c r="I49" s="17">
        <f t="shared" si="7"/>
        <v>0.59249492969397954</v>
      </c>
      <c r="J49" s="3"/>
    </row>
    <row r="50" spans="1:10" ht="15" x14ac:dyDescent="0.25">
      <c r="A50" s="6" t="s">
        <v>59</v>
      </c>
      <c r="B50" s="5" t="s">
        <v>1</v>
      </c>
      <c r="C50" s="5" t="s">
        <v>2</v>
      </c>
      <c r="D50" s="5" t="s">
        <v>3</v>
      </c>
      <c r="E50" s="5" t="s">
        <v>4</v>
      </c>
      <c r="F50" s="5" t="s">
        <v>5</v>
      </c>
      <c r="G50" s="5" t="s">
        <v>6</v>
      </c>
      <c r="H50" s="5" t="s">
        <v>7</v>
      </c>
      <c r="I50" s="5" t="s">
        <v>8</v>
      </c>
      <c r="J50" s="3"/>
    </row>
    <row r="51" spans="1:10" x14ac:dyDescent="0.2">
      <c r="A51" s="1" t="s">
        <v>60</v>
      </c>
      <c r="B51" s="12">
        <v>1.1000000000000001</v>
      </c>
      <c r="C51" s="8">
        <v>10000</v>
      </c>
      <c r="D51" s="9">
        <v>8264.4628099173551</v>
      </c>
      <c r="E51" s="9">
        <v>2648.6542999999997</v>
      </c>
      <c r="F51" s="9">
        <v>84.258499999999998</v>
      </c>
      <c r="G51" s="9">
        <f t="shared" ref="G51:G60" si="8">SUM(E51:F51)</f>
        <v>2732.9127999999996</v>
      </c>
      <c r="H51" s="9">
        <f t="shared" ref="H51:H60" si="9">D51-G51</f>
        <v>5531.5500099173551</v>
      </c>
      <c r="I51" s="17">
        <f t="shared" ref="I51:I60" si="10">H51/D51</f>
        <v>0.66931755120000003</v>
      </c>
      <c r="J51" s="3"/>
    </row>
    <row r="52" spans="1:10" x14ac:dyDescent="0.2">
      <c r="A52" s="1" t="s">
        <v>61</v>
      </c>
      <c r="B52" s="12">
        <v>0.55000000000000004</v>
      </c>
      <c r="C52" s="8">
        <v>5000</v>
      </c>
      <c r="D52" s="9">
        <v>4132.2314049586776</v>
      </c>
      <c r="E52" s="9">
        <v>1324.3271499999998</v>
      </c>
      <c r="F52" s="9">
        <v>84.258499999999998</v>
      </c>
      <c r="G52" s="9">
        <f t="shared" si="8"/>
        <v>1408.5856499999998</v>
      </c>
      <c r="H52" s="9">
        <f t="shared" si="9"/>
        <v>2723.6457549586776</v>
      </c>
      <c r="I52" s="17">
        <f t="shared" si="10"/>
        <v>0.65912227270000001</v>
      </c>
      <c r="J52" s="3"/>
    </row>
    <row r="53" spans="1:10" x14ac:dyDescent="0.2">
      <c r="A53" s="1" t="s">
        <v>62</v>
      </c>
      <c r="B53" s="12">
        <v>5.5E-2</v>
      </c>
      <c r="C53" s="8">
        <v>700</v>
      </c>
      <c r="D53" s="9">
        <v>578.51239669421489</v>
      </c>
      <c r="E53" s="9">
        <v>132.43271499999997</v>
      </c>
      <c r="F53" s="9">
        <v>0</v>
      </c>
      <c r="G53" s="9">
        <f t="shared" si="8"/>
        <v>132.43271499999997</v>
      </c>
      <c r="H53" s="9">
        <f t="shared" si="9"/>
        <v>446.07968169421491</v>
      </c>
      <c r="I53" s="17">
        <f t="shared" si="10"/>
        <v>0.77108059264285722</v>
      </c>
      <c r="J53" s="3"/>
    </row>
    <row r="54" spans="1:10" x14ac:dyDescent="0.2">
      <c r="A54" s="1" t="s">
        <v>63</v>
      </c>
      <c r="B54" s="12">
        <v>0.82000000000000006</v>
      </c>
      <c r="C54" s="8">
        <v>11000</v>
      </c>
      <c r="D54" s="9">
        <v>9090.9090909090919</v>
      </c>
      <c r="E54" s="9">
        <v>3765.0880999999999</v>
      </c>
      <c r="F54" s="9">
        <v>84.258499999999998</v>
      </c>
      <c r="G54" s="9">
        <f t="shared" si="8"/>
        <v>3849.3465999999999</v>
      </c>
      <c r="H54" s="9">
        <f t="shared" si="9"/>
        <v>5241.562490909092</v>
      </c>
      <c r="I54" s="17">
        <f t="shared" si="10"/>
        <v>0.5765718740000001</v>
      </c>
      <c r="J54" s="3"/>
    </row>
    <row r="55" spans="1:10" x14ac:dyDescent="0.2">
      <c r="A55" s="1" t="s">
        <v>64</v>
      </c>
      <c r="B55" s="12">
        <v>0.41000000000000003</v>
      </c>
      <c r="C55" s="8">
        <v>5500</v>
      </c>
      <c r="D55" s="9">
        <v>4545.454545454546</v>
      </c>
      <c r="E55" s="9">
        <v>1882.54405</v>
      </c>
      <c r="F55" s="9">
        <v>84.258499999999998</v>
      </c>
      <c r="G55" s="9">
        <f t="shared" si="8"/>
        <v>1966.8025499999999</v>
      </c>
      <c r="H55" s="9">
        <f t="shared" si="9"/>
        <v>2578.6519954545461</v>
      </c>
      <c r="I55" s="17">
        <f t="shared" si="10"/>
        <v>0.56730343900000002</v>
      </c>
      <c r="J55" s="3"/>
    </row>
    <row r="56" spans="1:10" x14ac:dyDescent="0.2">
      <c r="A56" s="1" t="s">
        <v>65</v>
      </c>
      <c r="B56" s="12">
        <v>4.1000000000000002E-2</v>
      </c>
      <c r="C56" s="8">
        <v>800</v>
      </c>
      <c r="D56" s="9">
        <v>661.15702479338847</v>
      </c>
      <c r="E56" s="9">
        <v>188.25440499999999</v>
      </c>
      <c r="F56" s="9">
        <v>0</v>
      </c>
      <c r="G56" s="9">
        <f t="shared" si="8"/>
        <v>188.25440499999999</v>
      </c>
      <c r="H56" s="9">
        <f t="shared" si="9"/>
        <v>472.90261979338845</v>
      </c>
      <c r="I56" s="17">
        <f t="shared" si="10"/>
        <v>0.71526521243749996</v>
      </c>
      <c r="J56" s="3"/>
    </row>
    <row r="57" spans="1:10" x14ac:dyDescent="0.2">
      <c r="A57" s="1" t="s">
        <v>66</v>
      </c>
      <c r="B57" s="12">
        <v>1</v>
      </c>
      <c r="C57" s="8">
        <v>14000</v>
      </c>
      <c r="D57" s="9">
        <v>11570.247933884299</v>
      </c>
      <c r="E57" s="9">
        <v>6418.4</v>
      </c>
      <c r="F57" s="9">
        <v>84.258499999999998</v>
      </c>
      <c r="G57" s="9">
        <f t="shared" si="8"/>
        <v>6502.6584999999995</v>
      </c>
      <c r="H57" s="9">
        <f t="shared" si="9"/>
        <v>5067.5894338842991</v>
      </c>
      <c r="I57" s="17">
        <f t="shared" si="10"/>
        <v>0.43798451535714295</v>
      </c>
      <c r="J57" s="3"/>
    </row>
    <row r="58" spans="1:10" x14ac:dyDescent="0.2">
      <c r="A58" s="1" t="s">
        <v>67</v>
      </c>
      <c r="B58" s="12">
        <v>0.5</v>
      </c>
      <c r="C58" s="8">
        <v>7000</v>
      </c>
      <c r="D58" s="9">
        <v>5785.1239669421493</v>
      </c>
      <c r="E58" s="9">
        <v>3209.2</v>
      </c>
      <c r="F58" s="9">
        <v>84.258499999999998</v>
      </c>
      <c r="G58" s="9">
        <f t="shared" si="8"/>
        <v>3293.4584999999997</v>
      </c>
      <c r="H58" s="9">
        <f t="shared" si="9"/>
        <v>2491.6654669421496</v>
      </c>
      <c r="I58" s="17">
        <f t="shared" si="10"/>
        <v>0.43070217357142865</v>
      </c>
      <c r="J58" s="3"/>
    </row>
    <row r="59" spans="1:10" x14ac:dyDescent="0.2">
      <c r="A59" s="1" t="s">
        <v>68</v>
      </c>
      <c r="B59" s="12">
        <v>0.05</v>
      </c>
      <c r="C59" s="8">
        <v>900</v>
      </c>
      <c r="D59" s="9">
        <v>743.80165289256206</v>
      </c>
      <c r="E59" s="9">
        <v>320.91999999999996</v>
      </c>
      <c r="F59" s="9">
        <v>0</v>
      </c>
      <c r="G59" s="9">
        <f t="shared" si="8"/>
        <v>320.91999999999996</v>
      </c>
      <c r="H59" s="9">
        <f t="shared" si="9"/>
        <v>422.8816528925621</v>
      </c>
      <c r="I59" s="17">
        <f t="shared" si="10"/>
        <v>0.56854088888888898</v>
      </c>
      <c r="J59" s="3"/>
    </row>
    <row r="60" spans="1:10" x14ac:dyDescent="0.2">
      <c r="A60" s="1" t="s">
        <v>69</v>
      </c>
      <c r="B60" s="12">
        <v>0.08</v>
      </c>
      <c r="C60" s="8">
        <v>3300</v>
      </c>
      <c r="D60" s="9">
        <v>2727.2727272727275</v>
      </c>
      <c r="E60" s="9">
        <v>376.50880999999998</v>
      </c>
      <c r="F60" s="9">
        <v>0</v>
      </c>
      <c r="G60" s="9">
        <f t="shared" si="8"/>
        <v>376.50880999999998</v>
      </c>
      <c r="H60" s="9">
        <f t="shared" si="9"/>
        <v>2350.7639172727277</v>
      </c>
      <c r="I60" s="17">
        <f t="shared" si="10"/>
        <v>0.86194676966666672</v>
      </c>
      <c r="J60" s="3"/>
    </row>
    <row r="61" spans="1:10" ht="6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3"/>
    </row>
    <row r="62" spans="1:10" ht="15" x14ac:dyDescent="0.25">
      <c r="A62" s="6" t="s">
        <v>70</v>
      </c>
      <c r="B62" s="5" t="s">
        <v>1</v>
      </c>
      <c r="C62" s="5" t="s">
        <v>2</v>
      </c>
      <c r="D62" s="5" t="s">
        <v>3</v>
      </c>
      <c r="E62" s="5" t="s">
        <v>4</v>
      </c>
      <c r="F62" s="5" t="s">
        <v>5</v>
      </c>
      <c r="G62" s="5" t="s">
        <v>6</v>
      </c>
      <c r="H62" s="5" t="s">
        <v>7</v>
      </c>
      <c r="I62" s="5" t="s">
        <v>8</v>
      </c>
      <c r="J62" s="3"/>
    </row>
    <row r="63" spans="1:10" ht="15" x14ac:dyDescent="0.25">
      <c r="A63" s="13" t="s">
        <v>71</v>
      </c>
      <c r="B63" s="12">
        <v>0.6</v>
      </c>
      <c r="C63" s="8">
        <v>10000</v>
      </c>
      <c r="D63" s="9">
        <v>8264.4628099173551</v>
      </c>
      <c r="E63" s="9">
        <v>2736.9348585523499</v>
      </c>
      <c r="F63" s="9">
        <v>84.258499999999998</v>
      </c>
      <c r="G63" s="9">
        <f t="shared" ref="G63:G71" si="11">SUM(E63:F63)</f>
        <v>2821.1933585523498</v>
      </c>
      <c r="H63" s="9">
        <f t="shared" ref="H63:H71" si="12">D63-G63</f>
        <v>5443.2694513650058</v>
      </c>
      <c r="I63" s="17">
        <f t="shared" ref="I63:I71" si="13">H63/D63</f>
        <v>0.65863560361516571</v>
      </c>
      <c r="J63" s="3"/>
    </row>
    <row r="64" spans="1:10" ht="15" x14ac:dyDescent="0.25">
      <c r="A64" s="13" t="s">
        <v>72</v>
      </c>
      <c r="B64" s="12">
        <v>7.4999999999999997E-2</v>
      </c>
      <c r="C64" s="8">
        <v>1700</v>
      </c>
      <c r="D64" s="9">
        <v>1404.9586776859505</v>
      </c>
      <c r="E64" s="9">
        <v>342.11685731904373</v>
      </c>
      <c r="F64" s="9">
        <v>6.7403999999999993</v>
      </c>
      <c r="G64" s="9">
        <f t="shared" si="11"/>
        <v>348.85725731904375</v>
      </c>
      <c r="H64" s="9">
        <f t="shared" si="12"/>
        <v>1056.1014203669067</v>
      </c>
      <c r="I64" s="17">
        <f t="shared" si="13"/>
        <v>0.75169571684938652</v>
      </c>
      <c r="J64" s="3"/>
    </row>
    <row r="65" spans="1:10" ht="15" x14ac:dyDescent="0.25">
      <c r="A65" s="13" t="s">
        <v>73</v>
      </c>
      <c r="B65" s="12">
        <v>0.6</v>
      </c>
      <c r="C65" s="8">
        <v>10000</v>
      </c>
      <c r="D65" s="9">
        <v>8264.4628099173551</v>
      </c>
      <c r="E65" s="9">
        <v>2424.0051251180766</v>
      </c>
      <c r="F65" s="9">
        <v>84.258499999999998</v>
      </c>
      <c r="G65" s="9">
        <f t="shared" si="11"/>
        <v>2508.2636251180766</v>
      </c>
      <c r="H65" s="9">
        <f t="shared" si="12"/>
        <v>5756.1991847992786</v>
      </c>
      <c r="I65" s="17">
        <f t="shared" si="13"/>
        <v>0.69650010136071272</v>
      </c>
      <c r="J65" s="3"/>
    </row>
    <row r="66" spans="1:10" ht="15" x14ac:dyDescent="0.25">
      <c r="A66" s="13" t="s">
        <v>74</v>
      </c>
      <c r="B66" s="12">
        <v>7.4999999999999997E-2</v>
      </c>
      <c r="C66" s="8">
        <v>1700</v>
      </c>
      <c r="D66" s="9">
        <v>1404.9586776859505</v>
      </c>
      <c r="E66" s="9">
        <v>303.00064063975958</v>
      </c>
      <c r="F66" s="9">
        <v>6.7403999999999993</v>
      </c>
      <c r="G66" s="9">
        <f t="shared" si="11"/>
        <v>309.7410406397596</v>
      </c>
      <c r="H66" s="9">
        <f t="shared" si="12"/>
        <v>1095.2176370461909</v>
      </c>
      <c r="I66" s="17">
        <f t="shared" si="13"/>
        <v>0.77953725930934759</v>
      </c>
      <c r="J66" s="3"/>
    </row>
    <row r="67" spans="1:10" x14ac:dyDescent="0.2">
      <c r="A67" s="1" t="s">
        <v>75</v>
      </c>
      <c r="B67" s="12">
        <v>0.65</v>
      </c>
      <c r="C67" s="8">
        <v>10000</v>
      </c>
      <c r="D67" s="9">
        <v>8264.4628099173551</v>
      </c>
      <c r="E67" s="9">
        <v>3205.6921898484861</v>
      </c>
      <c r="F67" s="9">
        <v>84.258499999999998</v>
      </c>
      <c r="G67" s="9">
        <f t="shared" si="11"/>
        <v>3289.950689848486</v>
      </c>
      <c r="H67" s="9">
        <f t="shared" si="12"/>
        <v>4974.5121200688691</v>
      </c>
      <c r="I67" s="17">
        <f t="shared" si="13"/>
        <v>0.60191596652833312</v>
      </c>
      <c r="J67" s="3"/>
    </row>
    <row r="68" spans="1:10" x14ac:dyDescent="0.2">
      <c r="A68" s="24" t="s">
        <v>76</v>
      </c>
      <c r="B68" s="12">
        <v>0.6</v>
      </c>
      <c r="C68" s="8">
        <v>10000</v>
      </c>
      <c r="D68" s="9">
        <v>8264.4628099173551</v>
      </c>
      <c r="E68" s="9">
        <v>3205.6921898484861</v>
      </c>
      <c r="F68" s="9">
        <v>84.258499999999998</v>
      </c>
      <c r="G68" s="9">
        <f t="shared" si="11"/>
        <v>3289.950689848486</v>
      </c>
      <c r="H68" s="9">
        <f t="shared" si="12"/>
        <v>4974.5121200688691</v>
      </c>
      <c r="I68" s="17">
        <f t="shared" si="13"/>
        <v>0.60191596652833312</v>
      </c>
      <c r="J68" s="3"/>
    </row>
    <row r="69" spans="1:10" ht="15" x14ac:dyDescent="0.25">
      <c r="A69" s="13" t="s">
        <v>77</v>
      </c>
      <c r="B69" s="12">
        <v>1.0449999999999999</v>
      </c>
      <c r="C69" s="8">
        <v>15700</v>
      </c>
      <c r="D69" s="9">
        <v>12975.206611570249</v>
      </c>
      <c r="E69" s="9">
        <v>5201.2452331993973</v>
      </c>
      <c r="F69" s="9">
        <v>84.258499999999998</v>
      </c>
      <c r="G69" s="9">
        <f t="shared" si="11"/>
        <v>5285.5037331993972</v>
      </c>
      <c r="H69" s="9">
        <f t="shared" si="12"/>
        <v>7689.702878370852</v>
      </c>
      <c r="I69" s="17">
        <f t="shared" si="13"/>
        <v>0.59264589062603379</v>
      </c>
      <c r="J69" s="3"/>
    </row>
    <row r="70" spans="1:10" x14ac:dyDescent="0.2">
      <c r="A70" s="26" t="s">
        <v>78</v>
      </c>
      <c r="B70" s="12">
        <v>1.0449999999999999</v>
      </c>
      <c r="C70" s="8">
        <v>15700</v>
      </c>
      <c r="D70" s="9">
        <v>12975.206611570249</v>
      </c>
      <c r="E70" s="9">
        <v>5201.2452331993973</v>
      </c>
      <c r="F70" s="9">
        <v>84.258499999999998</v>
      </c>
      <c r="G70" s="9">
        <f t="shared" si="11"/>
        <v>5285.5037331993972</v>
      </c>
      <c r="H70" s="9">
        <f t="shared" si="12"/>
        <v>7689.702878370852</v>
      </c>
      <c r="I70" s="17">
        <f t="shared" si="13"/>
        <v>0.59264589062603379</v>
      </c>
      <c r="J70" s="3"/>
    </row>
    <row r="71" spans="1:10" x14ac:dyDescent="0.2">
      <c r="A71" s="26" t="s">
        <v>79</v>
      </c>
      <c r="B71" s="12">
        <v>1.0449999999999999</v>
      </c>
      <c r="C71" s="8">
        <v>15700</v>
      </c>
      <c r="D71" s="9">
        <v>12975.206611570249</v>
      </c>
      <c r="E71" s="9">
        <v>5201.2452331993973</v>
      </c>
      <c r="F71" s="9">
        <v>84.258499999999998</v>
      </c>
      <c r="G71" s="9">
        <f t="shared" si="11"/>
        <v>5285.5037331993972</v>
      </c>
      <c r="H71" s="9">
        <f t="shared" si="12"/>
        <v>7689.702878370852</v>
      </c>
      <c r="I71" s="17">
        <f t="shared" si="13"/>
        <v>0.59264589062603379</v>
      </c>
      <c r="J71" s="3"/>
    </row>
    <row r="72" spans="1:10" ht="15" x14ac:dyDescent="0.25">
      <c r="A72" s="6" t="s">
        <v>80</v>
      </c>
      <c r="B72" s="5" t="s">
        <v>1</v>
      </c>
      <c r="C72" s="5" t="s">
        <v>2</v>
      </c>
      <c r="D72" s="5" t="s">
        <v>3</v>
      </c>
      <c r="E72" s="5" t="s">
        <v>4</v>
      </c>
      <c r="F72" s="5" t="s">
        <v>5</v>
      </c>
      <c r="G72" s="5" t="s">
        <v>6</v>
      </c>
      <c r="H72" s="5" t="s">
        <v>7</v>
      </c>
      <c r="I72" s="5" t="s">
        <v>8</v>
      </c>
      <c r="J72" s="3"/>
    </row>
    <row r="73" spans="1:10" x14ac:dyDescent="0.2">
      <c r="A73" s="1" t="s">
        <v>81</v>
      </c>
      <c r="B73" s="12">
        <v>1.6</v>
      </c>
      <c r="C73" s="8">
        <v>16000</v>
      </c>
      <c r="D73" s="9">
        <v>13223.140495867769</v>
      </c>
      <c r="E73" s="27">
        <v>5796.0750785014961</v>
      </c>
      <c r="F73" s="9">
        <v>84.258499999999998</v>
      </c>
      <c r="G73" s="9">
        <f>SUM(E73:F73)</f>
        <v>5880.333578501496</v>
      </c>
      <c r="H73" s="9">
        <f>D73-G73</f>
        <v>7342.8069173662725</v>
      </c>
      <c r="I73" s="17">
        <f>H73/D73</f>
        <v>0.55529977312582435</v>
      </c>
      <c r="J73" s="3"/>
    </row>
    <row r="74" spans="1:10" x14ac:dyDescent="0.2">
      <c r="A74" s="1" t="s">
        <v>82</v>
      </c>
      <c r="B74" s="12">
        <v>0.69</v>
      </c>
      <c r="C74" s="8">
        <v>8000</v>
      </c>
      <c r="D74" s="9">
        <v>6611.5702479338843</v>
      </c>
      <c r="E74" s="27">
        <v>2498.9324652492132</v>
      </c>
      <c r="F74" s="9">
        <v>84.258499999999998</v>
      </c>
      <c r="G74" s="9">
        <f>SUM(E74:F74)</f>
        <v>2583.1909652492131</v>
      </c>
      <c r="H74" s="9">
        <f>D74-G74</f>
        <v>4028.3792826846711</v>
      </c>
      <c r="I74" s="17">
        <f>H74/D74</f>
        <v>0.60929236650605656</v>
      </c>
      <c r="J74" s="3"/>
    </row>
    <row r="75" spans="1:10" ht="6" customHeight="1" x14ac:dyDescent="0.2">
      <c r="A75" s="7"/>
      <c r="F75" s="7"/>
      <c r="G75" s="7"/>
      <c r="H75" s="7"/>
      <c r="I75" s="7"/>
      <c r="J75" s="3"/>
    </row>
    <row r="76" spans="1:10" ht="17.25" customHeight="1" x14ac:dyDescent="0.25">
      <c r="A76" s="6" t="s">
        <v>84</v>
      </c>
      <c r="B76" s="5" t="s">
        <v>1</v>
      </c>
      <c r="C76" s="5" t="e">
        <v>#REF!</v>
      </c>
      <c r="D76" s="5" t="s">
        <v>3</v>
      </c>
      <c r="E76" s="5" t="s">
        <v>4</v>
      </c>
      <c r="F76" s="5" t="s">
        <v>5</v>
      </c>
      <c r="G76" s="5" t="s">
        <v>6</v>
      </c>
      <c r="H76" s="5" t="s">
        <v>7</v>
      </c>
      <c r="I76" s="5" t="s">
        <v>8</v>
      </c>
      <c r="J76" s="3"/>
    </row>
    <row r="77" spans="1:10" x14ac:dyDescent="0.2">
      <c r="A77" t="s">
        <v>85</v>
      </c>
      <c r="B77" s="12">
        <v>0.51</v>
      </c>
      <c r="C77" s="8">
        <v>6700</v>
      </c>
      <c r="D77" s="9">
        <v>5537.1900826446281</v>
      </c>
      <c r="E77" s="9">
        <v>3437.1560000000004</v>
      </c>
      <c r="F77" s="9">
        <v>87.0274</v>
      </c>
      <c r="G77" s="9">
        <f>SUM(E77:F77)</f>
        <v>3524.1834000000003</v>
      </c>
      <c r="H77" s="9">
        <f>D77-G77</f>
        <v>2013.0066826446277</v>
      </c>
      <c r="I77" s="17">
        <f>H77/D77</f>
        <v>0.3635429979104477</v>
      </c>
      <c r="J77" s="3"/>
    </row>
    <row r="78" spans="1:10" x14ac:dyDescent="0.2">
      <c r="A78" t="s">
        <v>86</v>
      </c>
      <c r="B78" s="12">
        <v>0.53</v>
      </c>
      <c r="C78" s="8">
        <v>6700</v>
      </c>
      <c r="D78" s="9">
        <v>5537.1900826446281</v>
      </c>
      <c r="E78" s="9">
        <v>3494.4439999999995</v>
      </c>
      <c r="F78" s="9">
        <v>87.0274</v>
      </c>
      <c r="G78" s="9">
        <f t="shared" ref="G78:G86" si="14">SUM(E78:F78)</f>
        <v>3581.4713999999994</v>
      </c>
      <c r="H78" s="9">
        <f t="shared" ref="H78:H86" si="15">D78-G78</f>
        <v>1955.7186826446286</v>
      </c>
      <c r="I78" s="17">
        <f t="shared" ref="I78:I86" si="16">H78/D78</f>
        <v>0.3531969561194031</v>
      </c>
      <c r="J78" s="3"/>
    </row>
    <row r="79" spans="1:10" x14ac:dyDescent="0.2">
      <c r="A79" t="s">
        <v>87</v>
      </c>
      <c r="B79" s="12">
        <v>0.54</v>
      </c>
      <c r="C79" s="8">
        <v>6700</v>
      </c>
      <c r="D79" s="9">
        <v>5537.1900826446281</v>
      </c>
      <c r="E79" s="9">
        <v>3405.6600000000003</v>
      </c>
      <c r="F79" s="9">
        <v>87.0274</v>
      </c>
      <c r="G79" s="9">
        <f t="shared" si="14"/>
        <v>3492.6874000000003</v>
      </c>
      <c r="H79" s="9">
        <f t="shared" si="15"/>
        <v>2044.5026826446278</v>
      </c>
      <c r="I79" s="17">
        <f t="shared" si="16"/>
        <v>0.36923108149253725</v>
      </c>
      <c r="J79" s="3"/>
    </row>
    <row r="80" spans="1:10" x14ac:dyDescent="0.2">
      <c r="A80" t="s">
        <v>88</v>
      </c>
      <c r="B80" s="12">
        <v>0.53500000000000003</v>
      </c>
      <c r="C80" s="8">
        <v>7200</v>
      </c>
      <c r="D80" s="9">
        <v>5950.4132231404965</v>
      </c>
      <c r="E80" s="9">
        <v>3777.9079999999999</v>
      </c>
      <c r="F80" s="9">
        <v>87.0274</v>
      </c>
      <c r="G80" s="9">
        <f t="shared" si="14"/>
        <v>3864.9353999999998</v>
      </c>
      <c r="H80" s="9">
        <f t="shared" si="15"/>
        <v>2085.4778231404966</v>
      </c>
      <c r="I80" s="17">
        <f t="shared" si="16"/>
        <v>0.35047613416666679</v>
      </c>
      <c r="J80" s="3"/>
    </row>
    <row r="81" spans="1:10" ht="15" x14ac:dyDescent="0.25">
      <c r="A81" s="21" t="s">
        <v>89</v>
      </c>
      <c r="B81" s="12">
        <v>0.66500000000000004</v>
      </c>
      <c r="C81" s="8">
        <v>9400</v>
      </c>
      <c r="D81" s="9">
        <v>7768.5950413223145</v>
      </c>
      <c r="E81" s="9">
        <v>5186.5479999999998</v>
      </c>
      <c r="F81" s="9">
        <v>87.0274</v>
      </c>
      <c r="G81" s="9">
        <f t="shared" si="14"/>
        <v>5273.5753999999997</v>
      </c>
      <c r="H81" s="9">
        <f t="shared" si="15"/>
        <v>2495.0196413223148</v>
      </c>
      <c r="I81" s="17">
        <f t="shared" si="16"/>
        <v>0.32116742191489367</v>
      </c>
      <c r="J81" s="3"/>
    </row>
    <row r="82" spans="1:10" ht="15" x14ac:dyDescent="0.25">
      <c r="A82" s="21" t="s">
        <v>90</v>
      </c>
      <c r="B82" s="12">
        <v>0.2</v>
      </c>
      <c r="C82" s="8">
        <v>3500</v>
      </c>
      <c r="D82" s="9">
        <v>2892.5619834710747</v>
      </c>
      <c r="E82" s="9">
        <v>1658.748</v>
      </c>
      <c r="F82" s="9">
        <v>84.258499999999998</v>
      </c>
      <c r="G82" s="9">
        <f t="shared" si="14"/>
        <v>1743.0065</v>
      </c>
      <c r="H82" s="9">
        <f t="shared" si="15"/>
        <v>1149.5554834710747</v>
      </c>
      <c r="I82" s="17">
        <f t="shared" si="16"/>
        <v>0.39741775285714293</v>
      </c>
      <c r="J82" s="3"/>
    </row>
    <row r="83" spans="1:10" ht="15" x14ac:dyDescent="0.25">
      <c r="A83" s="21" t="s">
        <v>91</v>
      </c>
      <c r="B83" s="12">
        <v>0.38</v>
      </c>
      <c r="C83" s="8">
        <v>6000</v>
      </c>
      <c r="D83" s="9">
        <v>4958.6776859504134</v>
      </c>
      <c r="E83" s="9">
        <v>3194.116</v>
      </c>
      <c r="F83" s="9">
        <v>84.258499999999998</v>
      </c>
      <c r="G83" s="9">
        <f t="shared" si="14"/>
        <v>3278.3744999999999</v>
      </c>
      <c r="H83" s="9">
        <f t="shared" si="15"/>
        <v>1680.3031859504135</v>
      </c>
      <c r="I83" s="17">
        <f t="shared" si="16"/>
        <v>0.33886114250000005</v>
      </c>
      <c r="J83" s="3"/>
    </row>
    <row r="84" spans="1:10" ht="15" x14ac:dyDescent="0.25">
      <c r="A84" s="21" t="s">
        <v>92</v>
      </c>
      <c r="B84" s="12">
        <v>0.38</v>
      </c>
      <c r="C84" s="8">
        <v>6000</v>
      </c>
      <c r="D84" s="9">
        <v>4958.6776859504134</v>
      </c>
      <c r="E84" s="9">
        <v>2878.66</v>
      </c>
      <c r="F84" s="9">
        <v>84.258499999999998</v>
      </c>
      <c r="G84" s="9">
        <f t="shared" si="14"/>
        <v>2962.9184999999998</v>
      </c>
      <c r="H84" s="9">
        <f t="shared" si="15"/>
        <v>1995.7591859504137</v>
      </c>
      <c r="I84" s="17">
        <f t="shared" si="16"/>
        <v>0.40247810250000005</v>
      </c>
      <c r="J84" s="3"/>
    </row>
    <row r="85" spans="1:10" x14ac:dyDescent="0.2">
      <c r="A85" s="1" t="s">
        <v>93</v>
      </c>
      <c r="B85" s="12">
        <v>0.42</v>
      </c>
      <c r="C85" s="8">
        <v>7900</v>
      </c>
      <c r="D85" s="9">
        <v>6528.9256198347111</v>
      </c>
      <c r="E85" s="9">
        <v>4321.0251438333335</v>
      </c>
      <c r="F85" s="9">
        <v>84.258499999999998</v>
      </c>
      <c r="G85" s="9">
        <f t="shared" si="14"/>
        <v>4405.2836438333334</v>
      </c>
      <c r="H85" s="9">
        <f t="shared" si="15"/>
        <v>2123.6419760013778</v>
      </c>
      <c r="I85" s="17">
        <f t="shared" si="16"/>
        <v>0.325266682400211</v>
      </c>
      <c r="J85" s="3"/>
    </row>
    <row r="86" spans="1:10" ht="15" x14ac:dyDescent="0.25">
      <c r="A86" s="28" t="s">
        <v>94</v>
      </c>
      <c r="B86" s="12">
        <v>0.12</v>
      </c>
      <c r="C86" s="8">
        <v>5600</v>
      </c>
      <c r="D86" s="9">
        <v>4628.0991735537191</v>
      </c>
      <c r="E86" s="9">
        <v>3221.9233099999997</v>
      </c>
      <c r="F86" s="9">
        <v>84.258499999999998</v>
      </c>
      <c r="G86" s="9">
        <f t="shared" si="14"/>
        <v>3306.1818099999996</v>
      </c>
      <c r="H86" s="9">
        <f t="shared" si="15"/>
        <v>1321.9173635537195</v>
      </c>
      <c r="I86" s="17">
        <f t="shared" si="16"/>
        <v>0.28562857319642865</v>
      </c>
      <c r="J86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Estructura</vt:lpstr>
      <vt:lpstr>Rent x línea País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Grandi</dc:creator>
  <cp:lastModifiedBy>Antonela romero</cp:lastModifiedBy>
  <dcterms:created xsi:type="dcterms:W3CDTF">2026-06-26T20:39:08Z</dcterms:created>
  <dcterms:modified xsi:type="dcterms:W3CDTF">2026-06-26T20:50:58Z</dcterms:modified>
</cp:coreProperties>
</file>